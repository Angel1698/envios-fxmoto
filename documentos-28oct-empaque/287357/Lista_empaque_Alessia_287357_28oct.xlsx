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17c738f36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por caja" sheetId="1" r:id="Ra34c992977f845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#,##0"/>
  </x:numFmts>
  <x:fonts count="4">
    <x:font>
      <x:sz val="11"/>
      <x:name val="Carlito"/>
    </x:font>
    <x:font>
      <x:sz val="11"/>
      <x:name val="Arial"/>
    </x:font>
    <x:font>
      <x:b/>
      <x:sz val="1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FF1C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0fab7ca344b80" /><Relationship Type="http://schemas.openxmlformats.org/officeDocument/2006/relationships/theme" Target="/xl/theme/theme1.xml" Id="R0ea97bf6b78041a0" /><Relationship Type="http://schemas.openxmlformats.org/officeDocument/2006/relationships/sharedStrings" Target="/xl/sharedStrings.xml" Id="Rf9fba49346dc467d" /><Relationship Type="http://schemas.openxmlformats.org/officeDocument/2006/relationships/worksheet" Target="/xl/worksheets/sheet1.xml" Id="Ra34c992977f8458f" /></Relationships>
</file>

<file path=xl/tables/table1.xml><?xml version="1.0" encoding="utf-8"?>
<x:table xmlns:x="http://schemas.openxmlformats.org/spreadsheetml/2006/main" id="1" name="ListaEmpaque" displayName="ListaEmpaque" ref="A11:J17" headerRowCount="1" totalsRowCount="0" totalsRowShown="0">
  <x:tableColumns count="10">
    <x:tableColumn id="1" name="Rack 1"/>
    <x:tableColumn id="2" name="Caja(s)"/>
    <x:tableColumn id="3" name="Código"/>
    <x:tableColumn id="4" name="Descripción"/>
    <x:tableColumn id="5" name="Lista"/>
    <x:tableColumn id="6" name="CFDI"/>
    <x:tableColumn id="7" name="Diferencia"/>
    <x:tableColumn id="8" name="Foto"/>
    <x:tableColumn id="9" name="Hoja"/>
    <x:tableColumn id="10" name="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50e3aeaf354c2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3" hidden="0" customWidth="1"/>
    <x:col min="2" max="2" width="13" hidden="0" customWidth="1"/>
    <x:col min="3" max="3" width="21" hidden="0" customWidth="1"/>
    <x:col min="4" max="4" width="65" hidden="0" customWidth="1"/>
    <x:col min="5" max="5" width="22" hidden="0" customWidth="1"/>
    <x:col min="6" max="6" width="22" hidden="0" customWidth="1"/>
    <x:col min="7" max="7" width="15" hidden="0" customWidth="1"/>
    <x:col min="8" max="8" width="9" hidden="0" customWidth="1"/>
    <x:col min="9" max="9" width="8" hidden="0" customWidth="1"/>
    <x:col min="10" max="10" width="72" hidden="0" customWidth="1"/>
  </x:cols>
  <x:sheetData>
    <x:row r="1" ht="34" customHeight="1">
      <x:c r="A1" s="2" t="str">
        <x:v>ALESSIA · Factura 287357 · EDOMEX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 t="str">
        <x:v>Pedido FXMoto 54 urgente · Proforma 253069 · Picking IND-182435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 t="str">
        <x:v>Recepción registrada 27-oct-2026 14:00 · Jesica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4" customHeight="1">
      <x:c r="A5" s="1" t="str">
        <x:v>WhatsApp PEDIDOS Fxmoto Alessia · 2026-10-28 11:03 · 6 hojas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24" customHeight="1">
      <x:c r="A7" s="1" t="str">
        <x:v>Códigos</x:v>
      </x:c>
      <x:c r="B7" s="1" t="n">
        <x:v>6</x:v>
      </x:c>
      <x:c r="C7" s="1" t="str">
        <x:v>Unidades lista</x:v>
      </x:c>
      <x:c r="D7" s="1" t="n">
        <x:f>SUM(E12:E17)</x:f>
        <x:v>31</x:v>
      </x:c>
      <x:c r="E7" s="1" t="str">
        <x:v>Unidades CFDI</x:v>
      </x:c>
      <x:c r="F7" s="1" t="n">
        <x:f>SUM(F12:F17)</x:f>
        <x:v>31</x:v>
      </x:c>
      <x:c r="G7" s="1"/>
      <x:c r="H7" s="1"/>
      <x:c r="I7" s="1"/>
      <x:c r="J7" s="1"/>
    </x:row>
    <x:row r="8" ht="24" customHeight="1">
      <x:c r="A8" s="1" t="str">
        <x:v>Bultos</x:v>
      </x:c>
      <x:c r="B8" s="1" t="n">
        <x:v>7</x:v>
      </x:c>
      <x:c r="C8" s="1" t="str">
        <x:v>Diferencia</x:v>
      </x:c>
      <x:c r="D8" s="1" t="n">
        <x:f>D7-F7</x:f>
        <x:v>0</x:v>
      </x:c>
      <x:c r="E8" s="1" t="str">
        <x:v>Total CFDI (MXN)</x:v>
      </x:c>
      <x:c r="F8" s="3" t="n">
        <x:v>23417.73</x:v>
      </x:c>
      <x:c r="G8" s="1"/>
      <x:c r="H8" s="1"/>
      <x:c r="I8" s="1"/>
      <x:c r="J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4" customHeight="1">
      <x:c r="A10" s="1" t="str">
        <x:v>Cantidades documentales por código. Conserva el reparto y las piezas pendientes de confirmación física.</x:v>
      </x:c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32" customHeight="1">
      <x:c r="A11" s="6" t="str">
        <x:v>Rack 1</x:v>
      </x:c>
      <x:c r="B11" s="6" t="str">
        <x:v>Caja(s)</x:v>
      </x:c>
      <x:c r="C11" s="6" t="str">
        <x:v>Código</x:v>
      </x:c>
      <x:c r="D11" s="6" t="str">
        <x:v>Descripción</x:v>
      </x:c>
      <x:c r="E11" s="6" t="str">
        <x:v>Lista</x:v>
      </x:c>
      <x:c r="F11" s="6" t="str">
        <x:v>CFDI</x:v>
      </x:c>
      <x:c r="G11" s="6" t="str">
        <x:v>Diferencia</x:v>
      </x:c>
      <x:c r="H11" s="6" t="str">
        <x:v>Foto</x:v>
      </x:c>
      <x:c r="I11" s="6" t="str">
        <x:v>Hoja</x:v>
      </x:c>
      <x:c r="J11" s="6" t="str">
        <x:v>Observación</x:v>
      </x:c>
    </x:row>
    <x:row r="12" ht="74" customHeight="1">
      <x:c r="A12" s="8" t="str">
        <x:v>200</x:v>
      </x:c>
      <x:c r="B12" s="8" t="str">
        <x:v>1-2</x:v>
      </x:c>
      <x:c r="C12" s="8" t="str">
        <x:v>BAJ-048</x:v>
      </x:c>
      <x:c r="D12" s="8" t="str">
        <x:v>BARRAS DE SUSPENSION DER/IZQ NEGRO VN CYCLONE-200 21-22/VN CYCLONE-150 21-22/VN FALKON-250 22</x:v>
      </x:c>
      <x:c r="E12" s="10" t="n">
        <x:v>10</x:v>
      </x:c>
      <x:c r="F12" s="10" t="n">
        <x:v>10</x:v>
      </x:c>
      <x:c r="G12" s="10" t="n">
        <x:f>E12-F12</x:f>
        <x:v>0</x:v>
      </x:c>
      <x:c r="H12" s="9" t="str">
        <x:v>04</x:v>
      </x:c>
      <x:c r="I12" s="9" t="n">
        <x:v>2</x:v>
      </x:c>
      <x:c r="J12" s="8" t="str"/>
    </x:row>
    <x:row r="13" ht="74" customHeight="1">
      <x:c r="A13" s="8" t="str">
        <x:v>600</x:v>
      </x:c>
      <x:c r="B13" s="8" t="str">
        <x:v>3-6</x:v>
      </x:c>
      <x:c r="C13" s="8" t="str">
        <x:v>TAG-043</x:v>
      </x:c>
      <x:c r="D13" s="8" t="str">
        <x:v>TANQUE DE GASOLINA AZUL 170-Z 16-18</x:v>
      </x:c>
      <x:c r="E13" s="10" t="n">
        <x:v>7</x:v>
      </x:c>
      <x:c r="F13" s="10" t="n">
        <x:v>7</x:v>
      </x:c>
      <x:c r="G13" s="10" t="n">
        <x:f>E13-F13</x:f>
        <x:v>0</x:v>
      </x:c>
      <x:c r="H13" s="9" t="str">
        <x:v>03</x:v>
      </x:c>
      <x:c r="I13" s="9" t="n">
        <x:v>3</x:v>
      </x:c>
      <x:c r="J13" s="8" t="str">
        <x:v>Cantidad total del código; no se infiere distribución por caja.</x:v>
      </x:c>
    </x:row>
    <x:row r="14" ht="74" customHeight="1">
      <x:c r="A14" s="8" t="str">
        <x:v>600</x:v>
      </x:c>
      <x:c r="B14" s="8" t="str">
        <x:v>6</x:v>
      </x:c>
      <x:c r="C14" s="8" t="str">
        <x:v>TAG-064</x:v>
      </x:c>
      <x:c r="D14" s="8" t="str">
        <x:v>TANQUE DE GASOLINA NEGRO-ROJO VN CROSSMAX-250 20-24/VN CROSSMAX-250PRO 22-24/VN CROSSMAX-300PRO 23-24</x:v>
      </x:c>
      <x:c r="E14" s="10" t="n">
        <x:v>1</x:v>
      </x:c>
      <x:c r="F14" s="10" t="n">
        <x:v>1</x:v>
      </x:c>
      <x:c r="G14" s="10" t="n">
        <x:f>E14-F14</x:f>
        <x:v>0</x:v>
      </x:c>
      <x:c r="H14" s="9" t="str">
        <x:v>03</x:v>
      </x:c>
      <x:c r="I14" s="9" t="n">
        <x:v>3</x:v>
      </x:c>
      <x:c r="J14" s="8" t="str"/>
    </x:row>
    <x:row r="15" ht="74" customHeight="1">
      <x:c r="A15" s="8" t="str">
        <x:v>100</x:v>
      </x:c>
      <x:c r="B15" s="8" t="str">
        <x:v>7</x:v>
      </x:c>
      <x:c r="C15" s="8" t="str">
        <x:v>MAB-069</x:v>
      </x:c>
      <x:c r="D15" s="8" t="str">
        <x:v>MANUBRIO NEGRO VN CROSSMAX-150 23/VN CROSSMAX-170 24/VN CROSSMAX-200 22-24/VN CROSSMAX-220 24-25/VN CROSSMAX-200 20-21/VN CROSSMAX-250 20-24/VN CROSSMAX PRO-250 23-24VN CROSSMAX PRO-300 24</x:v>
      </x:c>
      <x:c r="E15" s="10" t="n">
        <x:v>2</x:v>
      </x:c>
      <x:c r="F15" s="10" t="n">
        <x:v>2</x:v>
      </x:c>
      <x:c r="G15" s="10" t="n">
        <x:f>E15-F15</x:f>
        <x:v>0</x:v>
      </x:c>
      <x:c r="H15" s="9" t="str">
        <x:v>02</x:v>
      </x:c>
      <x:c r="I15" s="9" t="n">
        <x:v>1</x:v>
      </x:c>
      <x:c r="J15" s="8" t="str"/>
    </x:row>
    <x:row r="16" ht="74" customHeight="1">
      <x:c r="A16" s="8" t="str">
        <x:v>700</x:v>
      </x:c>
      <x:c r="B16" s="8" t="str">
        <x:v>7</x:v>
      </x:c>
      <x:c r="C16" s="8" t="str">
        <x:v>SAD-103</x:v>
      </x:c>
      <x:c r="D16" s="8" t="str">
        <x:v>SALPICADERA DELANTERA  NEGRO CON VERDE BRILLOSO IT FT-150TS 23-25</x:v>
      </x:c>
      <x:c r="E16" s="10" t="n">
        <x:v>9</x:v>
      </x:c>
      <x:c r="F16" s="10" t="n">
        <x:v>9</x:v>
      </x:c>
      <x:c r="G16" s="10" t="n">
        <x:f>E16-F16</x:f>
        <x:v>0</x:v>
      </x:c>
      <x:c r="H16" s="9" t="str">
        <x:v>05</x:v>
      </x:c>
      <x:c r="I16" s="9" t="n">
        <x:v>4</x:v>
      </x:c>
      <x:c r="J16" s="8" t="str"/>
    </x:row>
    <x:row r="17" ht="74" customHeight="1">
      <x:c r="A17" s="11" t="str">
        <x:v>BODE… (truncado)</x:v>
      </x:c>
      <x:c r="B17" s="11" t="str">
        <x:v>8</x:v>
      </x:c>
      <x:c r="C17" s="11" t="str">
        <x:v>LLA-3067</x:v>
      </x:c>
      <x:c r="D17" s="11" t="str">
        <x:v>LLANTA PARA MOTOCICLETA 190/55ZR17 RUDOS  BIKER CZ30 73W NO USA CAMARA (TL) TRASERA DEPORTIVA</x:v>
      </x:c>
      <x:c r="E17" s="12" t="n">
        <x:v>2</x:v>
      </x:c>
      <x:c r="F17" s="12" t="n">
        <x:v>2</x:v>
      </x:c>
      <x:c r="G17" s="12" t="n">
        <x:f>E17-F17</x:f>
        <x:v>0</x:v>
      </x:c>
      <x:c r="H17" s="13" t="str">
        <x:v>06</x:v>
      </x:c>
      <x:c r="I17" s="13" t="n">
        <x:v>5</x:v>
      </x:c>
      <x:c r="J17" s="11" t="str">
        <x:v>Caja 8 solo documental; resumen y recepción señalan 7 bultos. Continúa pendiente la confirmación física; no se asigna envío.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3" customHeight="1">
      <x:c r="A20" s="7" t="str">
        <x:v>Resumen: 3 cajas + 4 atados de cajas = 7 bultos; registro físico: 7 bultos. La hoja 5 ubica documentalmente LLA-3067 ×2 en caja 8, fuera de ese total.</x:v>
      </x:c>
      <x:c r="B20" s="7"/>
      <x:c r="C20" s="7"/>
      <x:c r="D20" s="7"/>
      <x:c r="E20" s="7"/>
      <x:c r="F20" s="7"/>
      <x:c r="G20" s="7"/>
      <x:c r="H20" s="7"/>
      <x:c r="I20" s="7"/>
      <x:c r="J20" s="7"/>
    </x:row>
    <x:row r="21" ht="23" customHeight="1">
      <x:c r="A21" s="7"/>
      <x:c r="B21" s="7"/>
      <x:c r="C21" s="7"/>
      <x:c r="D21" s="7"/>
      <x:c r="E21" s="7"/>
      <x:c r="F21" s="7"/>
      <x:c r="G21" s="7"/>
      <x:c r="H21" s="7"/>
      <x:c r="I21" s="7"/>
      <x:c r="J21" s="7"/>
    </x:row>
    <x:row r="22" ht="23" customHeight="1">
      <x:c r="A22" s="7" t="str">
        <x:v>La lista no resuelve si las 2 llantas LLA-3067 de 288403 son reposición de 287357 ni acredita cuatro piezas físicas. Se conserva pendiente solo LLA-3067 y todo el reparto ya autorizado de los demás códigos.</x:v>
      </x:c>
      <x:c r="B22" s="7"/>
      <x:c r="C22" s="7"/>
      <x:c r="D22" s="7"/>
      <x:c r="E22" s="7"/>
      <x:c r="F22" s="7"/>
      <x:c r="G22" s="7"/>
      <x:c r="H22" s="7"/>
      <x:c r="I22" s="7"/>
      <x:c r="J22" s="7"/>
    </x:row>
    <x:row r="23" ht="23" customHeight="1">
      <x:c r="A23" s="7"/>
      <x:c r="B23" s="7"/>
      <x:c r="C23" s="7"/>
      <x:c r="D23" s="7"/>
      <x:c r="E23" s="7"/>
      <x:c r="F23" s="7"/>
      <x:c r="G23" s="7"/>
      <x:c r="H23" s="7"/>
      <x:c r="I23" s="7"/>
      <x:c r="J23" s="7"/>
    </x:row>
    <x:row r="24" ht="23" customHeight="1">
      <x:c r="A24" s="7" t="str">
        <x:v>Picking $23,417.72; CFDI $23,417.73. Diferencia $0.01; se conserva el total oficial.</x:v>
      </x:c>
      <x:c r="B24" s="7"/>
      <x:c r="C24" s="7"/>
      <x:c r="D24" s="7"/>
      <x:c r="E24" s="7"/>
      <x:c r="F24" s="7"/>
      <x:c r="G24" s="7"/>
      <x:c r="H24" s="7"/>
      <x:c r="I24" s="7"/>
      <x:c r="J24" s="7"/>
    </x:row>
    <x:row r="25" ht="23" customHeight="1">
      <x:c r="A25" s="7"/>
      <x:c r="B25" s="7"/>
      <x:c r="C25" s="7"/>
      <x:c r="D25" s="7"/>
      <x:c r="E25" s="7"/>
      <x:c r="F25" s="7"/>
      <x:c r="G25" s="7"/>
      <x:c r="H25" s="7"/>
      <x:c r="I25" s="7"/>
      <x:c r="J25" s="7"/>
    </x:row>
    <x:row r="26" ht="23" customHeight="1">
      <x:c r="A26" s="7" t="str">
        <x:v>Vinculación: Folio 287357 escrito en la hoja resumen; encabezado pedido 253069, picking IND-182435 y EDOMEX. Todos los códigos y cantidades coinciden con el CFDI.</x:v>
      </x:c>
      <x:c r="B26" s="7"/>
      <x:c r="C26" s="7"/>
      <x:c r="D26" s="7"/>
      <x:c r="E26" s="7"/>
      <x:c r="F26" s="7"/>
      <x:c r="G26" s="7"/>
      <x:c r="H26" s="7"/>
      <x:c r="I26" s="7"/>
      <x:c r="J26" s="7"/>
    </x:row>
    <x:row r="27" ht="23" customHeight="1">
      <x:c r="A27" s="7"/>
      <x:c r="B27" s="7"/>
      <x:c r="C27" s="7"/>
      <x:c r="D27" s="7"/>
      <x:c r="E27" s="7"/>
      <x:c r="F27" s="7"/>
      <x:c r="G27" s="7"/>
      <x:c r="H27" s="7"/>
      <x:c r="I27" s="7"/>
      <x:c r="J27" s="7"/>
    </x:row>
    <x:row r="28" ht="23" customHeight="1">
      <x:c r="A28" s="7" t="str">
        <x:v>Lista y originales: https://envios.motofix.com.mx/empaque-alessia-287357-28oct-67be9943.html</x:v>
      </x:c>
      <x:c r="B28" s="7"/>
      <x:c r="C28" s="7"/>
      <x:c r="D28" s="7"/>
      <x:c r="E28" s="7"/>
      <x:c r="F28" s="7"/>
      <x:c r="G28" s="7"/>
      <x:c r="H28" s="7"/>
      <x:c r="I28" s="7"/>
      <x:c r="J28" s="7"/>
    </x:row>
    <x:row r="29" ht="23" customHeight="1">
      <x:c r="A29" s="7"/>
      <x:c r="B29" s="7"/>
      <x:c r="C29" s="7"/>
      <x:c r="D29" s="7"/>
      <x:c r="E29" s="7"/>
      <x:c r="F29" s="7"/>
      <x:c r="G29" s="7"/>
      <x:c r="H29" s="7"/>
      <x:c r="I29" s="7"/>
      <x:c r="J29" s="7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</x:sheetData>
  <x:mergeCells>
    <x:mergeCell ref="A1:J1"/>
    <x:mergeCell ref="A3:J3"/>
    <x:mergeCell ref="A4:J4"/>
    <x:mergeCell ref="A5:J5"/>
    <x:mergeCell ref="A10:J10"/>
    <x:mergeCell ref="A20:J21"/>
    <x:mergeCell ref="A22:J23"/>
    <x:mergeCell ref="A24:J25"/>
    <x:mergeCell ref="A26:J27"/>
    <x:mergeCell ref="A28:J29"/>
  </x:mergeCells>
  <x:pageMargins left="0.7" right="0.7" top="0.75" bottom="0.75" header="0.3" footer="0.3"/>
  <x:tableParts count="1">
    <x:tablePart xmlns:r="http://schemas.openxmlformats.org/officeDocument/2006/relationships" r:id="Rbf50e3aeaf354c23"/>
  </x:tableParts>
</x:worksheet>
</file>