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f19d736c4340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cde0f1188a944758"/>
    <x:sheet xmlns:r="http://schemas.openxmlformats.org/officeDocument/2006/relationships" name="Lista por caja" sheetId="2" r:id="R71018ccc737a40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@"/>
  </x:numFmts>
  <x:fonts count="6">
    <x:font>
      <x:sz val="11"/>
      <x:name val="Carlito"/>
    </x:font>
    <x:font>
      <x:sz val="11"/>
      <x:name val="Arial"/>
    </x:font>
    <x:font>
      <x:b/>
      <x:sz val="19"/>
      <x:name val="Arial"/>
    </x:font>
    <x:font>
      <x:b/>
      <x:sz val="11"/>
      <x:name val="Arial"/>
    </x:font>
    <x:font>
      <x:b/>
      <x:sz val="11"/>
      <x:color rgb="FFFFFFFF"/>
      <x:name val="Arial"/>
    </x:font>
    <x:font>
      <x:b/>
      <x:sz val="1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746"/>
      </x:patternFill>
    </x:fill>
    <x:fill>
      <x:patternFill patternType="solid">
        <x:fgColor rgb="FFFFF1C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200" fontId="1" fillId="0" borderId="0" xfId="0" applyNumberFormat="1" applyFont="1" applyFill="1" applyBorder="1"/>
    <x:xf numFmtId="0" fontId="5" fillId="0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200" fontId="1" fillId="3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200" fontId="1" fillId="3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horizontal="center" vertical="center"/>
    </x:xf>
    <x:xf numFmtId="201" fontId="1" fillId="0" borderId="0" xfId="0" applyNumberFormat="1" applyFont="1" applyFill="1" applyBorder="1" applyAlignment="1">
      <x:alignment horizontal="center" vertical="center"/>
    </x:xf>
    <x:xf numFmtId="201" fontId="1" fillId="3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26e6130ea041b9" /><Relationship Type="http://schemas.openxmlformats.org/officeDocument/2006/relationships/theme" Target="/xl/theme/theme1.xml" Id="R340681d9cea04e0f" /><Relationship Type="http://schemas.openxmlformats.org/officeDocument/2006/relationships/sharedStrings" Target="/xl/sharedStrings.xml" Id="R592dd39183e745f2" /><Relationship Type="http://schemas.openxmlformats.org/officeDocument/2006/relationships/worksheet" Target="/xl/worksheets/sheet1.xml" Id="Rcde0f1188a944758" /><Relationship Type="http://schemas.openxmlformats.org/officeDocument/2006/relationships/worksheet" Target="/xl/worksheets/sheet2.xml" Id="R71018ccc737a40ac" /></Relationships>
</file>

<file path=xl/tables/table1.xml><?xml version="1.0" encoding="utf-8"?>
<x:table xmlns:x="http://schemas.openxmlformats.org/spreadsheetml/2006/main" id="1" name="ListaEmpaque" displayName="ListaEmpaque" ref="A6:K127" headerRowCount="1" totalsRowCount="0" totalsRowShown="0">
  <x:tableColumns count="11">
    <x:tableColumn id="1" name="Grupo"/>
    <x:tableColumn id="2" name="Rack 1"/>
    <x:tableColumn id="3" name="Caja(s)"/>
    <x:tableColumn id="4" name="Código"/>
    <x:tableColumn id="5" name="Descripción"/>
    <x:tableColumn id="6" name="Lista"/>
    <x:tableColumn id="7" name="CFDI"/>
    <x:tableColumn id="8" name="Diferencia"/>
    <x:tableColumn id="9" name="Foto"/>
    <x:tableColumn id="10" name="Hoja"/>
    <x:tableColumn id="11" name="Observació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ae9252ca0dd4d3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35" hidden="0" customWidth="1"/>
    <x:col min="3" max="3" width="12" hidden="0" customWidth="1"/>
    <x:col min="4" max="4" width="37" hidden="0" customWidth="1"/>
    <x:col min="5" max="5" width="15" hidden="0" customWidth="1"/>
    <x:col min="6" max="6" width="12" hidden="0" customWidth="1"/>
  </x:cols>
  <x:sheetData>
    <x:row r="1" ht="24" customHeight="1">
      <x:c r="A1" s="2" t="str">
        <x:v>ALESSIA · Lista de empaque 288401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24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 ht="24" customHeight="1">
      <x:c r="A3" s="4" t="str">
        <x:v>Bodega</x:v>
      </x:c>
      <x:c r="B3" s="1" t="str">
        <x:v>EDOMEX</x:v>
      </x:c>
      <x:c r="C3" s="1"/>
      <x:c r="D3" s="4" t="str">
        <x:v>Códigos</x:v>
      </x:c>
      <x:c r="E3" s="1" t="n">
        <x:v>121</x:v>
      </x:c>
      <x:c r="F3" s="1"/>
      <x:c r="G3" s="1"/>
      <x:c r="H3" s="1"/>
      <x:c r="I3" s="1"/>
      <x:c r="J3" s="1"/>
      <x:c r="K3" s="1"/>
    </x:row>
    <x:row r="4" ht="24" customHeight="1">
      <x:c r="A4" s="4" t="str">
        <x:v>Pedido FXMoto</x:v>
      </x:c>
      <x:c r="B4" s="1" t="str">
        <x:v>55</x:v>
      </x:c>
      <x:c r="C4" s="1"/>
      <x:c r="D4" s="4" t="str">
        <x:v>Unidades de lista</x:v>
      </x:c>
      <x:c r="E4" s="7" t="n">
        <x:f>SUM('Lista por caja'!F7:F127)</x:f>
        <x:v>1558</x:v>
      </x:c>
      <x:c r="F4" s="1"/>
      <x:c r="G4" s="1"/>
      <x:c r="H4" s="1"/>
      <x:c r="I4" s="1"/>
      <x:c r="J4" s="1"/>
      <x:c r="K4" s="1"/>
    </x:row>
    <x:row r="5" ht="24" customHeight="1">
      <x:c r="A5" s="4" t="str">
        <x:v>Pedido / proforma</x:v>
      </x:c>
      <x:c r="B5" s="1" t="str">
        <x:v>255219</x:v>
      </x:c>
      <x:c r="C5" s="1"/>
      <x:c r="D5" s="4" t="str">
        <x:v>Unidades de factura</x:v>
      </x:c>
      <x:c r="E5" s="7" t="n">
        <x:f>SUM('Lista por caja'!G7:G127)</x:f>
        <x:v>1558</x:v>
      </x:c>
      <x:c r="F5" s="1"/>
      <x:c r="G5" s="1"/>
      <x:c r="H5" s="1"/>
      <x:c r="I5" s="1"/>
      <x:c r="J5" s="1"/>
      <x:c r="K5" s="1"/>
    </x:row>
    <x:row r="6" ht="24" customHeight="1">
      <x:c r="A6" s="4" t="str">
        <x:v>Picking</x:v>
      </x:c>
      <x:c r="B6" s="1" t="str">
        <x:v>CON-184504</x:v>
      </x:c>
      <x:c r="C6" s="1"/>
      <x:c r="D6" s="4" t="str">
        <x:v>Diferencia</x:v>
      </x:c>
      <x:c r="E6" s="7" t="n">
        <x:f>E4-E5</x:f>
        <x:v>0</x:v>
      </x:c>
      <x:c r="F6" s="1"/>
      <x:c r="G6" s="1"/>
      <x:c r="H6" s="1"/>
      <x:c r="I6" s="1"/>
      <x:c r="J6" s="1"/>
      <x:c r="K6" s="1"/>
    </x:row>
    <x:row r="7" ht="24" customHeight="1">
      <x:c r="A7" s="4" t="str">
        <x:v>Factura</x:v>
      </x:c>
      <x:c r="B7" s="1" t="str">
        <x:v>288401</x:v>
      </x:c>
      <x:c r="C7" s="1"/>
      <x:c r="D7" s="4" t="str">
        <x:v>Bultos documentados</x:v>
      </x:c>
      <x:c r="E7" s="7" t="n">
        <x:v>468</x:v>
      </x:c>
      <x:c r="F7" s="1"/>
      <x:c r="G7" s="1"/>
      <x:c r="H7" s="1"/>
      <x:c r="I7" s="1"/>
      <x:c r="J7" s="1"/>
      <x:c r="K7" s="1"/>
    </x:row>
    <x:row r="8" ht="24" customHeight="1">
      <x:c r="A8" s="4" t="str">
        <x:v>Fotografías recibidas</x:v>
      </x:c>
      <x:c r="B8" s="1" t="str">
        <x:v>28-oct-2026 · 10:31</x:v>
      </x:c>
      <x:c r="C8" s="1"/>
      <x:c r="D8" s="4" t="str">
        <x:v>Ubicaciones capturadas</x:v>
      </x:c>
      <x:c r="E8" s="7" t="n">
        <x:v>121</x:v>
      </x:c>
      <x:c r="F8" s="1"/>
      <x:c r="G8" s="1"/>
      <x:c r="H8" s="1"/>
      <x:c r="I8" s="1"/>
      <x:c r="J8" s="1"/>
      <x:c r="K8" s="1"/>
    </x:row>
    <x:row r="9" ht="40" customHeight="1">
      <x:c r="A9" s="4" t="str">
        <x:v>Recepción</x:v>
      </x:c>
      <x:c r="B9" s="3" t="str">
        <x:v>En camino; pendiente de recepción física</x:v>
      </x:c>
      <x:c r="C9" s="1"/>
      <x:c r="D9" s="1"/>
      <x:c r="E9" s="1"/>
      <x:c r="F9" s="1"/>
      <x:c r="G9" s="1"/>
      <x:c r="H9" s="1"/>
      <x:c r="I9" s="1"/>
      <x:c r="J9" s="1"/>
      <x:c r="K9" s="1"/>
    </x:row>
    <x:row r="10" ht="24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</x:row>
    <x:row r="11" ht="24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</x:row>
    <x:row r="12" ht="24" customHeight="1">
      <x:c r="A12" s="6" t="str">
        <x:v>Grupo</x:v>
      </x:c>
      <x:c r="B12" s="6" t="str">
        <x:v>Numeración</x:v>
      </x:c>
      <x:c r="C12" s="6" t="str">
        <x:v>Bultos</x:v>
      </x:c>
      <x:c r="D12" s="6" t="str">
        <x:v>Rack 1 / almacenes</x:v>
      </x:c>
      <x:c r="E12" s="1"/>
      <x:c r="F12" s="1"/>
      <x:c r="G12" s="1"/>
      <x:c r="H12" s="1"/>
      <x:c r="I12" s="1"/>
      <x:c r="J12" s="1"/>
      <x:c r="K12" s="1"/>
    </x:row>
    <x:row r="13" ht="24" customHeight="1">
      <x:c r="A13" s="1" t="str">
        <x:v>A</x:v>
      </x:c>
      <x:c r="B13" s="1" t="str">
        <x:v>1–421</x:v>
      </x:c>
      <x:c r="C13" s="1" t="n">
        <x:v>421</x:v>
      </x:c>
      <x:c r="D13" s="1" t="str">
        <x:v>100, 200, 300, 400, 600 y 800</x:v>
      </x:c>
      <x:c r="E13" s="1"/>
      <x:c r="F13" s="1"/>
      <x:c r="G13" s="1"/>
      <x:c r="H13" s="1"/>
      <x:c r="I13" s="1"/>
      <x:c r="J13" s="1"/>
      <x:c r="K13" s="1"/>
    </x:row>
    <x:row r="14" ht="24" customHeight="1">
      <x:c r="A14" s="1" t="str">
        <x:v>B</x:v>
      </x:c>
      <x:c r="B14" s="1" t="str">
        <x:v>1–47</x:v>
      </x:c>
      <x:c r="C14" s="1" t="n">
        <x:v>47</x:v>
      </x:c>
      <x:c r="D14" s="1" t="str">
        <x:v>700</x:v>
      </x:c>
      <x:c r="E14" s="1"/>
      <x:c r="F14" s="1"/>
      <x:c r="G14" s="1"/>
      <x:c r="H14" s="1"/>
      <x:c r="I14" s="1"/>
      <x:c r="J14" s="1"/>
      <x:c r="K14" s="1"/>
    </x:row>
    <x:row r="15" ht="24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</x:row>
    <x:row r="16" ht="24" customHeight="1">
      <x:c r="A16" s="1" t="str">
        <x:v>Resumen del proveedor: 396 cajas + 66 atados de llantas + 6 otros = 468 bultos.</x:v>
      </x:c>
      <x:c r="B16" s="1"/>
      <x:c r="C16" s="1"/>
      <x:c r="D16" s="1"/>
      <x:c r="E16" s="1"/>
      <x:c r="F16" s="1"/>
      <x:c r="G16" s="1"/>
      <x:c r="H16" s="1"/>
      <x:c r="I16" s="1"/>
      <x:c r="J16" s="1"/>
      <x:c r="K16" s="1"/>
    </x:row>
    <x:row r="17" ht="24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 ht="24" customHeight="1">
      <x:c r="A18" s="3" t="str">
        <x:v>Las nueve hojas están presentes. Cada código tiene ubicación; los 121 códigos y 1,558 unidades coinciden con la factura.</x:v>
      </x:c>
      <x:c r="B18" s="3"/>
      <x:c r="C18" s="3"/>
      <x:c r="D18" s="3"/>
      <x:c r="E18" s="3"/>
      <x:c r="F18" s="3"/>
      <x:c r="G18" s="1"/>
      <x:c r="H18" s="1"/>
      <x:c r="I18" s="1"/>
      <x:c r="J18" s="1"/>
      <x:c r="K18" s="1"/>
    </x:row>
    <x:row r="19" ht="24" customHeight="1">
      <x:c r="A19" s="3"/>
      <x:c r="B19" s="3"/>
      <x:c r="C19" s="3"/>
      <x:c r="D19" s="3"/>
      <x:c r="E19" s="3"/>
      <x:c r="F19" s="3"/>
      <x:c r="G19" s="1"/>
      <x:c r="H19" s="1"/>
      <x:c r="I19" s="1"/>
      <x:c r="J19" s="1"/>
      <x:c r="K19" s="1"/>
    </x:row>
    <x:row r="20" ht="24" customHeight="1">
      <x:c r="A20" s="3" t="str">
        <x:v>BAJ-044: cajas 325–340 identificadas; confirmar la anotación /4 y su unidad por caja frente a 32 unidades documentales.</x:v>
      </x:c>
      <x:c r="B20" s="3"/>
      <x:c r="C20" s="3"/>
      <x:c r="D20" s="3"/>
      <x:c r="E20" s="3"/>
      <x:c r="F20" s="3"/>
      <x:c r="G20" s="1"/>
      <x:c r="H20" s="1"/>
      <x:c r="I20" s="1"/>
      <x:c r="J20" s="1"/>
      <x:c r="K20" s="1"/>
    </x:row>
    <x:row r="21" ht="24" customHeight="1">
      <x:c r="A21" s="3"/>
      <x:c r="B21" s="3"/>
      <x:c r="C21" s="3"/>
      <x:c r="D21" s="3"/>
      <x:c r="E21" s="3"/>
      <x:c r="F21" s="3"/>
      <x:c r="G21" s="1"/>
      <x:c r="H21" s="1"/>
      <x:c r="I21" s="1"/>
      <x:c r="J21" s="1"/>
      <x:c r="K21" s="1"/>
    </x:row>
    <x:row r="22" ht="24" customHeight="1">
      <x:c r="A22" s="3" t="str">
        <x:v>BPO-007: cajas 346–347 identificadas; la anotación de piezas por caja requiere aclaración. Se conservan 30 unidades documentales.</x:v>
      </x:c>
      <x:c r="B22" s="3"/>
      <x:c r="C22" s="3"/>
      <x:c r="D22" s="3"/>
      <x:c r="E22" s="3"/>
      <x:c r="F22" s="3"/>
      <x:c r="G22" s="1"/>
      <x:c r="H22" s="1"/>
      <x:c r="I22" s="1"/>
      <x:c r="J22" s="1"/>
      <x:c r="K22" s="1"/>
    </x:row>
    <x:row r="23" ht="24" customHeight="1">
      <x:c r="A23" s="3"/>
      <x:c r="B23" s="3"/>
      <x:c r="C23" s="3"/>
      <x:c r="D23" s="3"/>
      <x:c r="E23" s="3"/>
      <x:c r="F23" s="3"/>
      <x:c r="G23" s="1"/>
      <x:c r="H23" s="1"/>
      <x:c r="I23" s="1"/>
      <x:c r="J23" s="1"/>
      <x:c r="K23" s="1"/>
    </x:row>
    <x:row r="24" ht="24" customHeight="1">
      <x:c r="A24" s="3" t="str">
        <x:v>Esta lista no confirma llegada física ni modifica cantidades o avances de envíos.</x:v>
      </x:c>
      <x:c r="B24" s="3"/>
      <x:c r="C24" s="3"/>
      <x:c r="D24" s="3"/>
      <x:c r="E24" s="3"/>
      <x:c r="F24" s="3"/>
      <x:c r="G24" s="1"/>
      <x:c r="H24" s="1"/>
      <x:c r="I24" s="1"/>
      <x:c r="J24" s="1"/>
      <x:c r="K24" s="1"/>
    </x:row>
    <x:row r="25" ht="24" customHeight="1">
      <x:c r="A25" s="3"/>
      <x:c r="B25" s="3"/>
      <x:c r="C25" s="3"/>
      <x:c r="D25" s="3"/>
      <x:c r="E25" s="3"/>
      <x:c r="F25" s="3"/>
      <x:c r="G25" s="1"/>
      <x:c r="H25" s="1"/>
      <x:c r="I25" s="1"/>
      <x:c r="J25" s="1"/>
      <x:c r="K25" s="1"/>
    </x:row>
    <x:row r="26" ht="24" customHeight="1">
      <x:c r="A26" s="3" t="str">
        <x:v>Fuentes: WhatsApp PEDIDOS Fxmoto Alessia, 28-oct 10:31; nueve fotos del picking CON-184504. Cotejo contra CFDI 288401 y su registro vigente.</x:v>
      </x:c>
      <x:c r="B26" s="3"/>
      <x:c r="C26" s="3"/>
      <x:c r="D26" s="3"/>
      <x:c r="E26" s="3"/>
      <x:c r="F26" s="3"/>
      <x:c r="G26" s="1"/>
      <x:c r="H26" s="1"/>
      <x:c r="I26" s="1"/>
      <x:c r="J26" s="1"/>
      <x:c r="K26" s="1"/>
    </x:row>
    <x:row r="27" ht="24" customHeight="1">
      <x:c r="A27" s="3"/>
      <x:c r="B27" s="3"/>
      <x:c r="C27" s="3"/>
      <x:c r="D27" s="3"/>
      <x:c r="E27" s="3"/>
      <x:c r="F27" s="3"/>
      <x:c r="G27" s="1"/>
      <x:c r="H27" s="1"/>
      <x:c r="I27" s="1"/>
      <x:c r="J27" s="1"/>
      <x:c r="K27" s="1"/>
    </x:row>
    <x:row r="28" ht="24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24" customHeight="1">
      <x:c r="A29" s="1" t="str">
        <x:v>Originales y lista: https://envios.motofix.com.mx/empaque-alessia-28oct-67be9943.html</x:v>
      </x:c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</x:row>
  </x:sheetData>
  <x:mergeCells>
    <x:mergeCell ref="A1:F1"/>
    <x:mergeCell ref="A16:F16"/>
    <x:mergeCell ref="A18:F19"/>
    <x:mergeCell ref="A20:F21"/>
    <x:mergeCell ref="A22:F23"/>
    <x:mergeCell ref="A24:F25"/>
    <x:mergeCell ref="A26:F27"/>
    <x:mergeCell ref="A29:F2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9" hidden="0" customWidth="1"/>
    <x:col min="2" max="2" width="10" hidden="0" customWidth="1"/>
    <x:col min="3" max="3" width="18" hidden="0" customWidth="1"/>
    <x:col min="4" max="4" width="19" hidden="0" customWidth="1"/>
    <x:col min="5" max="5" width="56" hidden="0" customWidth="1"/>
    <x:col min="6" max="6" width="12" hidden="0" customWidth="1"/>
    <x:col min="7" max="7" width="12" hidden="0" customWidth="1"/>
    <x:col min="8" max="8" width="13" hidden="0" customWidth="1"/>
    <x:col min="9" max="9" width="8" hidden="0" customWidth="1"/>
    <x:col min="10" max="10" width="8" hidden="0" customWidth="1"/>
    <x:col min="11" max="11" width="70" hidden="0" customWidth="1"/>
  </x:cols>
  <x:sheetData>
    <x:row r="1" ht="32" customHeight="1">
      <x:c r="A1" s="8" t="str">
        <x:v>Factura 288401 · Pedido 55 / 255219 · CON-184504 · EDOMEX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>
      <x:c r="A3" s="1" t="str">
        <x:v>Grupo A: secuencia global 1–421. Grupo B: almacén 700, 1–47. Las cantidades son por código; no se infiere reparto por caja.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>
      <x:c r="A4" s="1" t="str">
        <x:v>Fotos originales: documentos-28oct-empaque/foto_NN.jpg en la página. Número de foto y hoja en columnas I y J.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</x:row>
    <x:row r="6" ht="32" customHeight="1">
      <x:c r="A6" s="13" t="str">
        <x:v>Grupo</x:v>
      </x:c>
      <x:c r="B6" s="13" t="str">
        <x:v>Rack 1</x:v>
      </x:c>
      <x:c r="C6" s="13" t="str">
        <x:v>Caja(s)</x:v>
      </x:c>
      <x:c r="D6" s="13" t="str">
        <x:v>Código</x:v>
      </x:c>
      <x:c r="E6" s="13" t="str">
        <x:v>Descripción</x:v>
      </x:c>
      <x:c r="F6" s="20" t="str">
        <x:v>Lista</x:v>
      </x:c>
      <x:c r="G6" s="20" t="str">
        <x:v>CFDI</x:v>
      </x:c>
      <x:c r="H6" s="20" t="str">
        <x:v>Diferencia</x:v>
      </x:c>
      <x:c r="I6" s="20" t="str">
        <x:v>Foto</x:v>
      </x:c>
      <x:c r="J6" s="20" t="str">
        <x:v>Hoja</x:v>
      </x:c>
      <x:c r="K6" s="13" t="str">
        <x:v>Observación</x:v>
      </x:c>
    </x:row>
    <x:row r="7" ht="44" customHeight="1">
      <x:c r="A7" s="14" t="str">
        <x:v>A</x:v>
      </x:c>
      <x:c r="B7" s="14" t="str">
        <x:v>800</x:v>
      </x:c>
      <x:c r="C7" s="14" t="str">
        <x:v>1-3</x:v>
      </x:c>
      <x:c r="D7" s="14" t="str">
        <x:v>LLA-3052</x:v>
      </x:c>
      <x:c r="E7" s="15" t="str">
        <x:v>LLANTA PARA MOTOCICLETA 3.50-10 RUDOS BIKER P283 4PR CALLE NO USA CAMARA (TL) SCOOTER</x:v>
      </x:c>
      <x:c r="F7" s="21" t="n">
        <x:v>15</x:v>
      </x:c>
      <x:c r="G7" s="21" t="n">
        <x:v>15</x:v>
      </x:c>
      <x:c r="H7" s="21" t="n">
        <x:f>F7-G7</x:f>
        <x:v>0</x:v>
      </x:c>
      <x:c r="I7" s="25" t="str">
        <x:v>04</x:v>
      </x:c>
      <x:c r="J7" s="22" t="n">
        <x:v>8</x:v>
      </x:c>
      <x:c r="K7" s="15" t="str"/>
    </x:row>
    <x:row r="8" ht="44" customHeight="1">
      <x:c r="A8" s="14" t="str">
        <x:v>A</x:v>
      </x:c>
      <x:c r="B8" s="14" t="str">
        <x:v>800</x:v>
      </x:c>
      <x:c r="C8" s="14" t="str">
        <x:v>4-6</x:v>
      </x:c>
      <x:c r="D8" s="14" t="str">
        <x:v>LLA-3043</x:v>
      </x:c>
      <x:c r="E8" s="15" t="str">
        <x:v>LLANTA 110/70-17 RUDOS BIKER 4 CAPAS CY316 CALLE NO USA CAMARA (TL) DELANTERA</x:v>
      </x:c>
      <x:c r="F8" s="21" t="n">
        <x:v>15</x:v>
      </x:c>
      <x:c r="G8" s="21" t="n">
        <x:v>15</x:v>
      </x:c>
      <x:c r="H8" s="21" t="n">
        <x:f>F8-G8</x:f>
        <x:v>0</x:v>
      </x:c>
      <x:c r="I8" s="25" t="str">
        <x:v>04</x:v>
      </x:c>
      <x:c r="J8" s="22" t="n">
        <x:v>8</x:v>
      </x:c>
      <x:c r="K8" s="15" t="str"/>
    </x:row>
    <x:row r="9" ht="44" customHeight="1">
      <x:c r="A9" s="14" t="str">
        <x:v>A</x:v>
      </x:c>
      <x:c r="B9" s="14" t="str">
        <x:v>800</x:v>
      </x:c>
      <x:c r="C9" s="14" t="str">
        <x:v>7-11</x:v>
      </x:c>
      <x:c r="D9" s="14" t="str">
        <x:v>LLA-068</x:v>
      </x:c>
      <x:c r="E9" s="15" t="str">
        <x:v>LLANTA 90/90-21 4 CAPAS PG18T TODO TERRENO USA CAMARA (TT) XR-250 / XRE-300</x:v>
      </x:c>
      <x:c r="F9" s="21" t="n">
        <x:v>25</x:v>
      </x:c>
      <x:c r="G9" s="21" t="n">
        <x:v>25</x:v>
      </x:c>
      <x:c r="H9" s="21" t="n">
        <x:f>F9-G9</x:f>
        <x:v>0</x:v>
      </x:c>
      <x:c r="I9" s="25" t="str">
        <x:v>04</x:v>
      </x:c>
      <x:c r="J9" s="22" t="n">
        <x:v>8</x:v>
      </x:c>
      <x:c r="K9" s="15" t="str"/>
    </x:row>
    <x:row r="10" ht="44" customHeight="1">
      <x:c r="A10" s="14" t="str">
        <x:v>A</x:v>
      </x:c>
      <x:c r="B10" s="14" t="str">
        <x:v>800</x:v>
      </x:c>
      <x:c r="C10" s="14" t="str">
        <x:v>12-13</x:v>
      </x:c>
      <x:c r="D10" s="14" t="str">
        <x:v>LLA-081</x:v>
      </x:c>
      <x:c r="E10" s="15" t="str">
        <x:v>LLANTA 130/70-17 PREMIUM 6 CAPAS A433 CALLE NO USA CAMARA (TL) 250-Z/250-SZ/DM-250/RT-200/FZ-16/NS-200</x:v>
      </x:c>
      <x:c r="F10" s="21" t="n">
        <x:v>8</x:v>
      </x:c>
      <x:c r="G10" s="21" t="n">
        <x:v>8</x:v>
      </x:c>
      <x:c r="H10" s="21" t="n">
        <x:f>F10-G10</x:f>
        <x:v>0</x:v>
      </x:c>
      <x:c r="I10" s="25" t="str">
        <x:v>04</x:v>
      </x:c>
      <x:c r="J10" s="22" t="n">
        <x:v>8</x:v>
      </x:c>
      <x:c r="K10" s="15" t="str"/>
    </x:row>
    <x:row r="11" ht="44" customHeight="1">
      <x:c r="A11" s="14" t="str">
        <x:v>A</x:v>
      </x:c>
      <x:c r="B11" s="14" t="str">
        <x:v>800</x:v>
      </x:c>
      <x:c r="C11" s="14" t="str">
        <x:v>14</x:v>
      </x:c>
      <x:c r="D11" s="14" t="str">
        <x:v>LLA-2052</x:v>
      </x:c>
      <x:c r="E11" s="15" t="str">
        <x:v>LLANTA 130/70-12 6 CAPAS P810 SCOTTER SIN CAMARA (TL) SCOTTER</x:v>
      </x:c>
      <x:c r="F11" s="21" t="n">
        <x:v>5</x:v>
      </x:c>
      <x:c r="G11" s="21" t="n">
        <x:v>5</x:v>
      </x:c>
      <x:c r="H11" s="21" t="n">
        <x:f>F11-G11</x:f>
        <x:v>0</x:v>
      </x:c>
      <x:c r="I11" s="25" t="str">
        <x:v>04</x:v>
      </x:c>
      <x:c r="J11" s="22" t="n">
        <x:v>8</x:v>
      </x:c>
      <x:c r="K11" s="15" t="str"/>
    </x:row>
    <x:row r="12" ht="44" customHeight="1">
      <x:c r="A12" s="14" t="str">
        <x:v>A</x:v>
      </x:c>
      <x:c r="B12" s="14" t="str">
        <x:v>800</x:v>
      </x:c>
      <x:c r="C12" s="14" t="str">
        <x:v>15-20</x:v>
      </x:c>
      <x:c r="D12" s="14" t="str">
        <x:v>LLA-2028</x:v>
      </x:c>
      <x:c r="E12" s="15" t="str">
        <x:v>LLANTA 120/80-17 PREMIUM 6 CAPAS  256  CALLE USA CAMARA URBANAS/VN THRILLER -200</x:v>
      </x:c>
      <x:c r="F12" s="21" t="n">
        <x:v>30</x:v>
      </x:c>
      <x:c r="G12" s="21" t="n">
        <x:v>30</x:v>
      </x:c>
      <x:c r="H12" s="21" t="n">
        <x:f>F12-G12</x:f>
        <x:v>0</x:v>
      </x:c>
      <x:c r="I12" s="25" t="str">
        <x:v>04</x:v>
      </x:c>
      <x:c r="J12" s="22" t="n">
        <x:v>8</x:v>
      </x:c>
      <x:c r="K12" s="15" t="str"/>
    </x:row>
    <x:row r="13" ht="44" customHeight="1">
      <x:c r="A13" s="14" t="str">
        <x:v>A</x:v>
      </x:c>
      <x:c r="B13" s="14" t="str">
        <x:v>800</x:v>
      </x:c>
      <x:c r="C13" s="14" t="str">
        <x:v>21</x:v>
      </x:c>
      <x:c r="D13" s="14" t="str">
        <x:v>LLA-066</x:v>
      </x:c>
      <x:c r="E13" s="15" t="str">
        <x:v>LLANTA 80/100-21 PREMIUM 4 CAPAS P510 DOBLE PROPOSITO USA CAMARA (TT) DM-150SPORT / DM-200 / DM-200SPORT / CRF-250/ DM-250 -20</x:v>
      </x:c>
      <x:c r="F13" s="21" t="n">
        <x:v>5</x:v>
      </x:c>
      <x:c r="G13" s="21" t="n">
        <x:v>5</x:v>
      </x:c>
      <x:c r="H13" s="21" t="n">
        <x:f>F13-G13</x:f>
        <x:v>0</x:v>
      </x:c>
      <x:c r="I13" s="25" t="str">
        <x:v>04</x:v>
      </x:c>
      <x:c r="J13" s="22" t="n">
        <x:v>8</x:v>
      </x:c>
      <x:c r="K13" s="15" t="str"/>
    </x:row>
    <x:row r="14" ht="44" customHeight="1">
      <x:c r="A14" s="14" t="str">
        <x:v>A</x:v>
      </x:c>
      <x:c r="B14" s="14" t="str">
        <x:v>800</x:v>
      </x:c>
      <x:c r="C14" s="14" t="str">
        <x:v>22-24</x:v>
      </x:c>
      <x:c r="D14" s="14" t="str">
        <x:v>LLA-067</x:v>
      </x:c>
      <x:c r="E14" s="15" t="str">
        <x:v>LLANTA 90/90-18  6 CAPAS PG083/21A USA CAMARA (TT) EX-200 / RT-200 / RT-200 NEGRO</x:v>
      </x:c>
      <x:c r="F14" s="21" t="n">
        <x:v>15</x:v>
      </x:c>
      <x:c r="G14" s="21" t="n">
        <x:v>15</x:v>
      </x:c>
      <x:c r="H14" s="21" t="n">
        <x:f>F14-G14</x:f>
        <x:v>0</x:v>
      </x:c>
      <x:c r="I14" s="25" t="str">
        <x:v>04</x:v>
      </x:c>
      <x:c r="J14" s="22" t="n">
        <x:v>8</x:v>
      </x:c>
      <x:c r="K14" s="15" t="str"/>
    </x:row>
    <x:row r="15" ht="44" customHeight="1">
      <x:c r="A15" s="14" t="str">
        <x:v>A</x:v>
      </x:c>
      <x:c r="B15" s="14" t="str">
        <x:v>800</x:v>
      </x:c>
      <x:c r="C15" s="14" t="str">
        <x:v>25-27</x:v>
      </x:c>
      <x:c r="D15" s="14" t="str">
        <x:v>LLA-2003</x:v>
      </x:c>
      <x:c r="E15" s="15" t="str">
        <x:v>LLANTA 2.50-18 PREMIUM 6 CAPAS A321 CALLE USA CAMARA (TT) MOTOS DE TRABAJO</x:v>
      </x:c>
      <x:c r="F15" s="21" t="n">
        <x:v>30</x:v>
      </x:c>
      <x:c r="G15" s="21" t="n">
        <x:v>30</x:v>
      </x:c>
      <x:c r="H15" s="21" t="n">
        <x:f>F15-G15</x:f>
        <x:v>0</x:v>
      </x:c>
      <x:c r="I15" s="25" t="str">
        <x:v>04</x:v>
      </x:c>
      <x:c r="J15" s="22" t="n">
        <x:v>8</x:v>
      </x:c>
      <x:c r="K15" s="15" t="str"/>
    </x:row>
    <x:row r="16" ht="44" customHeight="1">
      <x:c r="A16" s="14" t="str">
        <x:v>A</x:v>
      </x:c>
      <x:c r="B16" s="14" t="str">
        <x:v>800</x:v>
      </x:c>
      <x:c r="C16" s="14" t="str">
        <x:v>28-36</x:v>
      </x:c>
      <x:c r="D16" s="14" t="str">
        <x:v>LLA-079</x:v>
      </x:c>
      <x:c r="E16" s="15" t="str">
        <x:v>LLANTA 130/90-18 PREMIUM 6 CAPAS A813 CALLE USA CAMARA (TT) EX-200/RT-200</x:v>
      </x:c>
      <x:c r="F16" s="21" t="n">
        <x:v>36</x:v>
      </x:c>
      <x:c r="G16" s="21" t="n">
        <x:v>36</x:v>
      </x:c>
      <x:c r="H16" s="21" t="n">
        <x:f>F16-G16</x:f>
        <x:v>0</x:v>
      </x:c>
      <x:c r="I16" s="25" t="str">
        <x:v>04</x:v>
      </x:c>
      <x:c r="J16" s="22" t="n">
        <x:v>8</x:v>
      </x:c>
      <x:c r="K16" s="15" t="str"/>
    </x:row>
    <x:row r="17" ht="44" customHeight="1">
      <x:c r="A17" s="14" t="str">
        <x:v>A</x:v>
      </x:c>
      <x:c r="B17" s="14" t="str">
        <x:v>800</x:v>
      </x:c>
      <x:c r="C17" s="14" t="str">
        <x:v>37-41</x:v>
      </x:c>
      <x:c r="D17" s="14" t="str">
        <x:v>LLA-2015</x:v>
      </x:c>
      <x:c r="E17" s="15" t="str">
        <x:v>LLANTA 70/100-19 PREMIUM 6 CAPAS J867 DOBLE PROPOSITO USA CAMARA (TT DM-125</x:v>
      </x:c>
      <x:c r="F17" s="21" t="n">
        <x:v>25</x:v>
      </x:c>
      <x:c r="G17" s="21" t="n">
        <x:v>25</x:v>
      </x:c>
      <x:c r="H17" s="21" t="n">
        <x:f>F17-G17</x:f>
        <x:v>0</x:v>
      </x:c>
      <x:c r="I17" s="25" t="str">
        <x:v>04</x:v>
      </x:c>
      <x:c r="J17" s="22" t="n">
        <x:v>8</x:v>
      </x:c>
      <x:c r="K17" s="15" t="str"/>
    </x:row>
    <x:row r="18" ht="44" customHeight="1">
      <x:c r="A18" s="14" t="str">
        <x:v>A</x:v>
      </x:c>
      <x:c r="B18" s="14" t="str">
        <x:v>800</x:v>
      </x:c>
      <x:c r="C18" s="14" t="str">
        <x:v>42-45</x:v>
      </x:c>
      <x:c r="D18" s="14" t="str">
        <x:v>LLA-2056</x:v>
      </x:c>
      <x:c r="E18" s="15" t="str">
        <x:v>LLANTA 130/60-13 PREMIUM 6 CAPAS P804 SCOOTER NO USA CAMARA (TL) SCOOTER</x:v>
      </x:c>
      <x:c r="F18" s="21" t="n">
        <x:v>20</x:v>
      </x:c>
      <x:c r="G18" s="21" t="n">
        <x:v>20</x:v>
      </x:c>
      <x:c r="H18" s="21" t="n">
        <x:f>F18-G18</x:f>
        <x:v>0</x:v>
      </x:c>
      <x:c r="I18" s="25" t="str">
        <x:v>04</x:v>
      </x:c>
      <x:c r="J18" s="22" t="n">
        <x:v>8</x:v>
      </x:c>
      <x:c r="K18" s="15" t="str"/>
    </x:row>
    <x:row r="19" ht="44" customHeight="1">
      <x:c r="A19" s="14" t="str">
        <x:v>A</x:v>
      </x:c>
      <x:c r="B19" s="14" t="str">
        <x:v>800</x:v>
      </x:c>
      <x:c r="C19" s="14" t="str">
        <x:v>46-50</x:v>
      </x:c>
      <x:c r="D19" s="14" t="str">
        <x:v>LLA-2024</x:v>
      </x:c>
      <x:c r="E19" s="15" t="str">
        <x:v>LLANTA 90/90-17 PREMIUM 6 CAPAS P242 DOBLE PROPOSITO USA CAMARA (TT) 125-Z 16-20</x:v>
      </x:c>
      <x:c r="F19" s="21" t="n">
        <x:v>25</x:v>
      </x:c>
      <x:c r="G19" s="21" t="n">
        <x:v>25</x:v>
      </x:c>
      <x:c r="H19" s="21" t="n">
        <x:f>F19-G19</x:f>
        <x:v>0</x:v>
      </x:c>
      <x:c r="I19" s="25" t="str">
        <x:v>04</x:v>
      </x:c>
      <x:c r="J19" s="22" t="n">
        <x:v>8</x:v>
      </x:c>
      <x:c r="K19" s="15" t="str"/>
    </x:row>
    <x:row r="20" ht="44" customHeight="1">
      <x:c r="A20" s="14" t="str">
        <x:v>A</x:v>
      </x:c>
      <x:c r="B20" s="14" t="str">
        <x:v>800</x:v>
      </x:c>
      <x:c r="C20" s="14" t="str">
        <x:v>51</x:v>
      </x:c>
      <x:c r="D20" s="14" t="str">
        <x:v>LLA-2013</x:v>
      </x:c>
      <x:c r="E20" s="15" t="str">
        <x:v>LLANTA 110/90-17 PREMIUM 6 CAPAS J840 DOBLE PROPOSITO USA CAMARA (TT) DM-150RO</x:v>
      </x:c>
      <x:c r="F20" s="21" t="n">
        <x:v>4</x:v>
      </x:c>
      <x:c r="G20" s="21" t="n">
        <x:v>4</x:v>
      </x:c>
      <x:c r="H20" s="21" t="n">
        <x:f>F20-G20</x:f>
        <x:v>0</x:v>
      </x:c>
      <x:c r="I20" s="25" t="str">
        <x:v>04</x:v>
      </x:c>
      <x:c r="J20" s="22" t="n">
        <x:v>8</x:v>
      </x:c>
      <x:c r="K20" s="15" t="str"/>
    </x:row>
    <x:row r="21" ht="44" customHeight="1">
      <x:c r="A21" s="14" t="str">
        <x:v>A</x:v>
      </x:c>
      <x:c r="B21" s="14" t="str">
        <x:v>800</x:v>
      </x:c>
      <x:c r="C21" s="14" t="str">
        <x:v>52-53</x:v>
      </x:c>
      <x:c r="D21" s="14" t="str">
        <x:v>LLA-2033</x:v>
      </x:c>
      <x:c r="E21" s="15" t="str">
        <x:v>LLANTA 80/90-18 PREMIUM 4 CAPAS P128 CALLE NO USA CAMARA TRABAJO</x:v>
      </x:c>
      <x:c r="F21" s="21" t="n">
        <x:v>10</x:v>
      </x:c>
      <x:c r="G21" s="21" t="n">
        <x:v>10</x:v>
      </x:c>
      <x:c r="H21" s="21" t="n">
        <x:f>F21-G21</x:f>
        <x:v>0</x:v>
      </x:c>
      <x:c r="I21" s="25" t="str">
        <x:v>04</x:v>
      </x:c>
      <x:c r="J21" s="22" t="n">
        <x:v>8</x:v>
      </x:c>
      <x:c r="K21" s="15" t="str"/>
    </x:row>
    <x:row r="22" ht="44" customHeight="1">
      <x:c r="A22" s="14" t="str">
        <x:v>A</x:v>
      </x:c>
      <x:c r="B22" s="14" t="str">
        <x:v>800</x:v>
      </x:c>
      <x:c r="C22" s="14" t="str">
        <x:v>54-58</x:v>
      </x:c>
      <x:c r="D22" s="14" t="str">
        <x:v>LLA-083</x:v>
      </x:c>
      <x:c r="E22" s="15" t="str">
        <x:v>LLANTA 80/90-17 PREMIUM 4 CAPAS A434 CALLE NO USA CAMARA (TL) 150-SZ / 150-Z / 170-Z / 200-Z</x:v>
      </x:c>
      <x:c r="F22" s="21" t="n">
        <x:v>25</x:v>
      </x:c>
      <x:c r="G22" s="21" t="n">
        <x:v>25</x:v>
      </x:c>
      <x:c r="H22" s="21" t="n">
        <x:f>F22-G22</x:f>
        <x:v>0</x:v>
      </x:c>
      <x:c r="I22" s="25" t="str">
        <x:v>04</x:v>
      </x:c>
      <x:c r="J22" s="22" t="n">
        <x:v>8</x:v>
      </x:c>
      <x:c r="K22" s="15" t="str"/>
    </x:row>
    <x:row r="23" ht="44" customHeight="1">
      <x:c r="A23" s="14" t="str">
        <x:v>A</x:v>
      </x:c>
      <x:c r="B23" s="14" t="str">
        <x:v>800</x:v>
      </x:c>
      <x:c r="C23" s="14" t="str">
        <x:v>59-61</x:v>
      </x:c>
      <x:c r="D23" s="14" t="str">
        <x:v>LLA-3070</x:v>
      </x:c>
      <x:c r="E23" s="15" t="str">
        <x:v>LLANTA PARA MOTOCICLETA 190/50ZR17 RUDOS BIKER CZ30 73W NO USA CAMARA (TL) TRASERA DEPORTIVA</x:v>
      </x:c>
      <x:c r="F23" s="21" t="n">
        <x:v>6</x:v>
      </x:c>
      <x:c r="G23" s="21" t="n">
        <x:v>6</x:v>
      </x:c>
      <x:c r="H23" s="21" t="n">
        <x:f>F23-G23</x:f>
        <x:v>0</x:v>
      </x:c>
      <x:c r="I23" s="25" t="str">
        <x:v>04</x:v>
      </x:c>
      <x:c r="J23" s="22" t="n">
        <x:v>8</x:v>
      </x:c>
      <x:c r="K23" s="15" t="str"/>
    </x:row>
    <x:row r="24" ht="44" customHeight="1">
      <x:c r="A24" s="14" t="str">
        <x:v>A</x:v>
      </x:c>
      <x:c r="B24" s="14" t="str">
        <x:v>800</x:v>
      </x:c>
      <x:c r="C24" s="14" t="str">
        <x:v>62</x:v>
      </x:c>
      <x:c r="D24" s="14" t="str">
        <x:v>LLA-2039</x:v>
      </x:c>
      <x:c r="E24" s="15" t="str">
        <x:v>LLANTA 120/90-18 TRASERA PREMIUM 6 CAPAS P349 CAF? RACER USA CAMARA (TT) CROSSMAX-200 20-23/CROSSMAX-150 20-23</x:v>
      </x:c>
      <x:c r="F24" s="21" t="n">
        <x:v>4</x:v>
      </x:c>
      <x:c r="G24" s="21" t="n">
        <x:v>4</x:v>
      </x:c>
      <x:c r="H24" s="21" t="n">
        <x:f>F24-G24</x:f>
        <x:v>0</x:v>
      </x:c>
      <x:c r="I24" s="25" t="str">
        <x:v>04</x:v>
      </x:c>
      <x:c r="J24" s="22" t="n">
        <x:v>8</x:v>
      </x:c>
      <x:c r="K24" s="15" t="str"/>
    </x:row>
    <x:row r="25" ht="44" customHeight="1">
      <x:c r="A25" s="14" t="str">
        <x:v>A</x:v>
      </x:c>
      <x:c r="B25" s="14" t="str">
        <x:v>800</x:v>
      </x:c>
      <x:c r="C25" s="14" t="str">
        <x:v>63</x:v>
      </x:c>
      <x:c r="D25" s="14" t="str">
        <x:v>LLA-2019</x:v>
      </x:c>
      <x:c r="E25" s="15" t="str">
        <x:v>LLANTA 100/80-17 PREMIUM 4 CAPAS P99 CALLE NO USA CAMARA (TL) URBANAS</x:v>
      </x:c>
      <x:c r="F25" s="21" t="n">
        <x:v>2</x:v>
      </x:c>
      <x:c r="G25" s="21" t="n">
        <x:v>2</x:v>
      </x:c>
      <x:c r="H25" s="21" t="n">
        <x:f>F25-G25</x:f>
        <x:v>0</x:v>
      </x:c>
      <x:c r="I25" s="25" t="str">
        <x:v>04</x:v>
      </x:c>
      <x:c r="J25" s="22" t="n">
        <x:v>8</x:v>
      </x:c>
      <x:c r="K25" s="15" t="str"/>
    </x:row>
    <x:row r="26" ht="44" customHeight="1">
      <x:c r="A26" s="14" t="str">
        <x:v>A</x:v>
      </x:c>
      <x:c r="B26" s="14" t="str">
        <x:v>800</x:v>
      </x:c>
      <x:c r="C26" s="14" t="str">
        <x:v>64</x:v>
      </x:c>
      <x:c r="D26" s="14" t="str">
        <x:v>LLA-2050</x:v>
      </x:c>
      <x:c r="E26" s="15" t="str">
        <x:v>LLANTA 3.00-10 PREMIUM 6 CAPAS 42J SCOTTER  SIN CAMARA (TL) SCOTTER</x:v>
      </x:c>
      <x:c r="F26" s="21" t="n">
        <x:v>1</x:v>
      </x:c>
      <x:c r="G26" s="21" t="n">
        <x:v>1</x:v>
      </x:c>
      <x:c r="H26" s="21" t="n">
        <x:f>F26-G26</x:f>
        <x:v>0</x:v>
      </x:c>
      <x:c r="I26" s="25" t="str">
        <x:v>04</x:v>
      </x:c>
      <x:c r="J26" s="22" t="n">
        <x:v>8</x:v>
      </x:c>
      <x:c r="K26" s="15" t="str"/>
    </x:row>
    <x:row r="27" ht="44" customHeight="1">
      <x:c r="A27" s="14" t="str">
        <x:v>A</x:v>
      </x:c>
      <x:c r="B27" s="14" t="str">
        <x:v>800</x:v>
      </x:c>
      <x:c r="C27" s="14" t="str">
        <x:v>64</x:v>
      </x:c>
      <x:c r="D27" s="14" t="str">
        <x:v>LLA-3058</x:v>
      </x:c>
      <x:c r="E27" s="15" t="str">
        <x:v>LLANTA PARA MOTOCICLETA 130/60-13 P148 SCOOTER 4PR NO USA CAMARA (TL) SCOOTER</x:v>
      </x:c>
      <x:c r="F27" s="21" t="n">
        <x:v>2</x:v>
      </x:c>
      <x:c r="G27" s="21" t="n">
        <x:v>2</x:v>
      </x:c>
      <x:c r="H27" s="21" t="n">
        <x:f>F27-G27</x:f>
        <x:v>0</x:v>
      </x:c>
      <x:c r="I27" s="25" t="str">
        <x:v>04</x:v>
      </x:c>
      <x:c r="J27" s="22" t="n">
        <x:v>8</x:v>
      </x:c>
      <x:c r="K27" s="15" t="str"/>
    </x:row>
    <x:row r="28" ht="44" customHeight="1">
      <x:c r="A28" s="14" t="str">
        <x:v>A</x:v>
      </x:c>
      <x:c r="B28" s="14" t="str">
        <x:v>800</x:v>
      </x:c>
      <x:c r="C28" s="14" t="str">
        <x:v>65</x:v>
      </x:c>
      <x:c r="D28" s="14" t="str">
        <x:v>LLA-080</x:v>
      </x:c>
      <x:c r="E28" s="15" t="str">
        <x:v>LLANTA 110/90-16 PREMIUM 6 CAPAS P36 CALLE NO USA CAMARA (TL) IT RC-150 / IT RC-200</x:v>
      </x:c>
      <x:c r="F28" s="21" t="n">
        <x:v>1</x:v>
      </x:c>
      <x:c r="G28" s="21" t="n">
        <x:v>1</x:v>
      </x:c>
      <x:c r="H28" s="21" t="n">
        <x:f>F28-G28</x:f>
        <x:v>0</x:v>
      </x:c>
      <x:c r="I28" s="25" t="str">
        <x:v>04</x:v>
      </x:c>
      <x:c r="J28" s="22" t="n">
        <x:v>8</x:v>
      </x:c>
      <x:c r="K28" s="15" t="str"/>
    </x:row>
    <x:row r="29" ht="44" customHeight="1">
      <x:c r="A29" s="14" t="str">
        <x:v>A</x:v>
      </x:c>
      <x:c r="B29" s="14" t="str">
        <x:v>800</x:v>
      </x:c>
      <x:c r="C29" s="14" t="str">
        <x:v>65</x:v>
      </x:c>
      <x:c r="D29" s="14" t="str">
        <x:v>LLA-2006</x:v>
      </x:c>
      <x:c r="E29" s="15" t="str">
        <x:v>LLANTA 2.75-18 PREMIUM 6 CAPAS A339 CALLE NO USA CAMARA (TL) MOTOS DE TRABAJO</x:v>
      </x:c>
      <x:c r="F29" s="21" t="n">
        <x:v>1</x:v>
      </x:c>
      <x:c r="G29" s="21" t="n">
        <x:v>1</x:v>
      </x:c>
      <x:c r="H29" s="21" t="n">
        <x:f>F29-G29</x:f>
        <x:v>0</x:v>
      </x:c>
      <x:c r="I29" s="25" t="str">
        <x:v>04</x:v>
      </x:c>
      <x:c r="J29" s="22" t="n">
        <x:v>8</x:v>
      </x:c>
      <x:c r="K29" s="15" t="str"/>
    </x:row>
    <x:row r="30" ht="44" customHeight="1">
      <x:c r="A30" s="14" t="str">
        <x:v>A</x:v>
      </x:c>
      <x:c r="B30" s="14" t="str">
        <x:v>800</x:v>
      </x:c>
      <x:c r="C30" s="14" t="str">
        <x:v>66</x:v>
      </x:c>
      <x:c r="D30" s="14" t="str">
        <x:v>LLA-2058</x:v>
      </x:c>
      <x:c r="E30" s="15" t="str">
        <x:v>LLANTA 3.00-17 PREMIUM 6 CAPAS P269 TRABAJO NO USA CAMARA (TL) TRABAJO</x:v>
      </x:c>
      <x:c r="F30" s="21" t="n">
        <x:v>2</x:v>
      </x:c>
      <x:c r="G30" s="21" t="n">
        <x:v>2</x:v>
      </x:c>
      <x:c r="H30" s="21" t="n">
        <x:f>F30-G30</x:f>
        <x:v>0</x:v>
      </x:c>
      <x:c r="I30" s="25" t="str">
        <x:v>04</x:v>
      </x:c>
      <x:c r="J30" s="22" t="n">
        <x:v>8</x:v>
      </x:c>
      <x:c r="K30" s="15" t="str"/>
    </x:row>
    <x:row r="31" ht="44" customHeight="1">
      <x:c r="A31" s="14" t="str">
        <x:v>A</x:v>
      </x:c>
      <x:c r="B31" s="14" t="str">
        <x:v>200</x:v>
      </x:c>
      <x:c r="C31" s="14" t="str">
        <x:v>67-76</x:v>
      </x:c>
      <x:c r="D31" s="14" t="str">
        <x:v>RIN-105</x:v>
      </x:c>
      <x:c r="E31" s="15" t="str">
        <x:v>RIN DELANTERO RAYOS 1.85 X 19 ROJO 19 DM-150 ROJA 18-19</x:v>
      </x:c>
      <x:c r="F31" s="21" t="n">
        <x:v>50</x:v>
      </x:c>
      <x:c r="G31" s="21" t="n">
        <x:v>50</x:v>
      </x:c>
      <x:c r="H31" s="21" t="n">
        <x:f>F31-G31</x:f>
        <x:v>0</x:v>
      </x:c>
      <x:c r="I31" s="25" t="str">
        <x:v>08</x:v>
      </x:c>
      <x:c r="J31" s="22" t="n">
        <x:v>2</x:v>
      </x:c>
      <x:c r="K31" s="15" t="str"/>
    </x:row>
    <x:row r="32" ht="44" customHeight="1">
      <x:c r="A32" s="14" t="str">
        <x:v>A</x:v>
      </x:c>
      <x:c r="B32" s="14" t="str">
        <x:v>200</x:v>
      </x:c>
      <x:c r="C32" s="14" t="str">
        <x:v>77-84</x:v>
      </x:c>
      <x:c r="D32" s="14" t="str">
        <x:v>RIN-106</x:v>
      </x:c>
      <x:c r="E32" s="15" t="str">
        <x:v>RIN TRASERO RAYOS 2.15 X 17 ROJO 17 DM-150 ROJA 18-19</x:v>
      </x:c>
      <x:c r="F32" s="21" t="n">
        <x:v>32</x:v>
      </x:c>
      <x:c r="G32" s="21" t="n">
        <x:v>32</x:v>
      </x:c>
      <x:c r="H32" s="21" t="n">
        <x:f>F32-G32</x:f>
        <x:v>0</x:v>
      </x:c>
      <x:c r="I32" s="25" t="str">
        <x:v>08</x:v>
      </x:c>
      <x:c r="J32" s="22" t="n">
        <x:v>2</x:v>
      </x:c>
      <x:c r="K32" s="15" t="str"/>
    </x:row>
    <x:row r="33" ht="44" customHeight="1">
      <x:c r="A33" s="14" t="str">
        <x:v>A</x:v>
      </x:c>
      <x:c r="B33" s="14" t="str">
        <x:v>200</x:v>
      </x:c>
      <x:c r="C33" s="14" t="str">
        <x:v>85</x:v>
      </x:c>
      <x:c r="D33" s="14" t="str">
        <x:v>RIN-104</x:v>
      </x:c>
      <x:c r="E33" s="15" t="str">
        <x:v>RIN TRASERO 3.0 X 17 BLANCO 17 150-Z 19</x:v>
      </x:c>
      <x:c r="F33" s="21" t="n">
        <x:v>2</x:v>
      </x:c>
      <x:c r="G33" s="21" t="n">
        <x:v>2</x:v>
      </x:c>
      <x:c r="H33" s="21" t="n">
        <x:f>F33-G33</x:f>
        <x:v>0</x:v>
      </x:c>
      <x:c r="I33" s="25" t="str">
        <x:v>08</x:v>
      </x:c>
      <x:c r="J33" s="22" t="n">
        <x:v>2</x:v>
      </x:c>
      <x:c r="K33" s="15" t="str"/>
    </x:row>
    <x:row r="34" ht="44" customHeight="1">
      <x:c r="A34" s="14" t="str">
        <x:v>A</x:v>
      </x:c>
      <x:c r="B34" s="14" t="str">
        <x:v>200</x:v>
      </x:c>
      <x:c r="C34" s="14" t="str">
        <x:v>86-91</x:v>
      </x:c>
      <x:c r="D34" s="14" t="str">
        <x:v>RIN-157</x:v>
      </x:c>
      <x:c r="E34" s="15" t="str">
        <x:v>RIN TRASERO 2.15 X 18 DORADO DISCO 18 IT DM-300 24</x:v>
      </x:c>
      <x:c r="F34" s="21" t="n">
        <x:v>18</x:v>
      </x:c>
      <x:c r="G34" s="21" t="n">
        <x:v>18</x:v>
      </x:c>
      <x:c r="H34" s="21" t="n">
        <x:f>F34-G34</x:f>
        <x:v>0</x:v>
      </x:c>
      <x:c r="I34" s="25" t="str">
        <x:v>08</x:v>
      </x:c>
      <x:c r="J34" s="22" t="n">
        <x:v>2</x:v>
      </x:c>
      <x:c r="K34" s="15" t="str"/>
    </x:row>
    <x:row r="35" ht="44" customHeight="1">
      <x:c r="A35" s="14" t="str">
        <x:v>A</x:v>
      </x:c>
      <x:c r="B35" s="14" t="str">
        <x:v>200</x:v>
      </x:c>
      <x:c r="C35" s="14" t="str">
        <x:v>92-95</x:v>
      </x:c>
      <x:c r="D35" s="14" t="str">
        <x:v>RIN-128</x:v>
      </x:c>
      <x:c r="E35" s="15" t="str">
        <x:v>RIN DELANTERO 2.5 X 17 NEGRO MATE 17 VN NITROX-200 20-23/VN NITROX-250 20-23/VN NITROX-250T3 24/VN V-RACER 250 20-23</x:v>
      </x:c>
      <x:c r="F35" s="21" t="n">
        <x:v>8</x:v>
      </x:c>
      <x:c r="G35" s="21" t="n">
        <x:v>8</x:v>
      </x:c>
      <x:c r="H35" s="21" t="n">
        <x:f>F35-G35</x:f>
        <x:v>0</x:v>
      </x:c>
      <x:c r="I35" s="25" t="str">
        <x:v>08</x:v>
      </x:c>
      <x:c r="J35" s="22" t="n">
        <x:v>2</x:v>
      </x:c>
      <x:c r="K35" s="15" t="str"/>
    </x:row>
    <x:row r="36" ht="44" customHeight="1">
      <x:c r="A36" s="14" t="str">
        <x:v>A</x:v>
      </x:c>
      <x:c r="B36" s="14" t="str">
        <x:v>200</x:v>
      </x:c>
      <x:c r="C36" s="14" t="str">
        <x:v>96</x:v>
      </x:c>
      <x:c r="D36" s="14" t="str">
        <x:v>RIN-139</x:v>
      </x:c>
      <x:c r="E36" s="15" t="str">
        <x:v>RIN TRASERO DE RAYOS 2.15 X 18 AMARILLO 18 IT DM-200 20-22</x:v>
      </x:c>
      <x:c r="F36" s="21" t="n">
        <x:v>3</x:v>
      </x:c>
      <x:c r="G36" s="21" t="n">
        <x:v>3</x:v>
      </x:c>
      <x:c r="H36" s="21" t="n">
        <x:f>F36-G36</x:f>
        <x:v>0</x:v>
      </x:c>
      <x:c r="I36" s="25" t="str">
        <x:v>08</x:v>
      </x:c>
      <x:c r="J36" s="22" t="n">
        <x:v>2</x:v>
      </x:c>
      <x:c r="K36" s="15" t="str"/>
    </x:row>
    <x:row r="37" ht="44" customHeight="1">
      <x:c r="A37" s="14" t="str">
        <x:v>A</x:v>
      </x:c>
      <x:c r="B37" s="14" t="str">
        <x:v>200</x:v>
      </x:c>
      <x:c r="C37" s="14" t="str">
        <x:v>97-111</x:v>
      </x:c>
      <x:c r="D37" s="14" t="str">
        <x:v>TAG-065</x:v>
      </x:c>
      <x:c r="E37" s="15" t="str">
        <x:v>TANQUE DE GASOLINA GRIS IT FT-150 GTS 23-25</x:v>
      </x:c>
      <x:c r="F37" s="21" t="n">
        <x:v>15</x:v>
      </x:c>
      <x:c r="G37" s="21" t="n">
        <x:v>15</x:v>
      </x:c>
      <x:c r="H37" s="21" t="n">
        <x:f>F37-G37</x:f>
        <x:v>0</x:v>
      </x:c>
      <x:c r="I37" s="25" t="str">
        <x:v>01</x:v>
      </x:c>
      <x:c r="J37" s="22" t="n">
        <x:v>3</x:v>
      </x:c>
      <x:c r="K37" s="15" t="str"/>
    </x:row>
    <x:row r="38" ht="44" customHeight="1">
      <x:c r="A38" s="14" t="str">
        <x:v>A</x:v>
      </x:c>
      <x:c r="B38" s="14" t="str">
        <x:v>200</x:v>
      </x:c>
      <x:c r="C38" s="14" t="str">
        <x:v>112</x:v>
      </x:c>
      <x:c r="D38" s="14" t="str">
        <x:v>RIN-063</x:v>
      </x:c>
      <x:c r="E38" s="15" t="str">
        <x:v>RIN TRASERO 1.6 X 18 NEGRO FILO AMARILLO 18 FT-150S  15-16 / FT-150 TS  16-18</x:v>
      </x:c>
      <x:c r="F38" s="21" t="n">
        <x:v>2</x:v>
      </x:c>
      <x:c r="G38" s="21" t="n">
        <x:v>2</x:v>
      </x:c>
      <x:c r="H38" s="21" t="n">
        <x:f>F38-G38</x:f>
        <x:v>0</x:v>
      </x:c>
      <x:c r="I38" s="25" t="str">
        <x:v>01</x:v>
      </x:c>
      <x:c r="J38" s="22" t="n">
        <x:v>3</x:v>
      </x:c>
      <x:c r="K38" s="15" t="str"/>
    </x:row>
    <x:row r="39" ht="44" customHeight="1">
      <x:c r="A39" s="14" t="str">
        <x:v>A</x:v>
      </x:c>
      <x:c r="B39" s="14" t="str">
        <x:v>200</x:v>
      </x:c>
      <x:c r="C39" s="14" t="str">
        <x:v>113-117</x:v>
      </x:c>
      <x:c r="D39" s="14" t="str">
        <x:v>RIN-057</x:v>
      </x:c>
      <x:c r="E39" s="15" t="str">
        <x:v>RIN TRASERO 1.6 X 17 NEGRO / ROJO 17 AT-110 RT C/LED 17</x:v>
      </x:c>
      <x:c r="F39" s="21" t="n">
        <x:v>10</x:v>
      </x:c>
      <x:c r="G39" s="21" t="n">
        <x:v>10</x:v>
      </x:c>
      <x:c r="H39" s="21" t="n">
        <x:f>F39-G39</x:f>
        <x:v>0</x:v>
      </x:c>
      <x:c r="I39" s="25" t="str">
        <x:v>01</x:v>
      </x:c>
      <x:c r="J39" s="22" t="n">
        <x:v>3</x:v>
      </x:c>
      <x:c r="K39" s="15" t="str"/>
    </x:row>
    <x:row r="40" ht="44" customHeight="1">
      <x:c r="A40" s="14" t="str">
        <x:v>A</x:v>
      </x:c>
      <x:c r="B40" s="14" t="str">
        <x:v>200</x:v>
      </x:c>
      <x:c r="C40" s="14" t="str">
        <x:v>118-153</x:v>
      </x:c>
      <x:c r="D40" s="14" t="str">
        <x:v>TAG-035</x:v>
      </x:c>
      <x:c r="E40" s="15" t="str">
        <x:v>TANQUE DE GASOLINA AZUL-BLANCO IT FT-125TS 16-22</x:v>
      </x:c>
      <x:c r="F40" s="21" t="n">
        <x:v>36</x:v>
      </x:c>
      <x:c r="G40" s="21" t="n">
        <x:v>36</x:v>
      </x:c>
      <x:c r="H40" s="21" t="n">
        <x:f>F40-G40</x:f>
        <x:v>0</x:v>
      </x:c>
      <x:c r="I40" s="25" t="str">
        <x:v>08</x:v>
      </x:c>
      <x:c r="J40" s="22" t="n">
        <x:v>2</x:v>
      </x:c>
      <x:c r="K40" s="15" t="str"/>
    </x:row>
    <x:row r="41" ht="44" customHeight="1">
      <x:c r="A41" s="14" t="str">
        <x:v>A</x:v>
      </x:c>
      <x:c r="B41" s="14" t="str">
        <x:v>200</x:v>
      </x:c>
      <x:c r="C41" s="14" t="str">
        <x:v>154-199</x:v>
      </x:c>
      <x:c r="D41" s="14" t="str">
        <x:v>TAG-054</x:v>
      </x:c>
      <x:c r="E41" s="15" t="str">
        <x:v>TANQUE DE GASOLINA NEGRO NE/RO VN TORNADO-250 17-22/VN STORM-300 24</x:v>
      </x:c>
      <x:c r="F41" s="21" t="n">
        <x:v>46</x:v>
      </x:c>
      <x:c r="G41" s="21" t="n">
        <x:v>46</x:v>
      </x:c>
      <x:c r="H41" s="21" t="n">
        <x:f>F41-G41</x:f>
        <x:v>0</x:v>
      </x:c>
      <x:c r="I41" s="25" t="str">
        <x:v>08</x:v>
      </x:c>
      <x:c r="J41" s="22" t="n">
        <x:v>2</x:v>
      </x:c>
      <x:c r="K41" s="15" t="str"/>
    </x:row>
    <x:row r="42" ht="44" customHeight="1">
      <x:c r="A42" s="14" t="str">
        <x:v>A</x:v>
      </x:c>
      <x:c r="B42" s="14" t="str">
        <x:v>200</x:v>
      </x:c>
      <x:c r="C42" s="14" t="str">
        <x:v>200-214</x:v>
      </x:c>
      <x:c r="D42" s="14" t="str">
        <x:v>TAG-040</x:v>
      </x:c>
      <x:c r="E42" s="15" t="str">
        <x:v>TANQUE DE GASOLINA BLANCO CARGO 150</x:v>
      </x:c>
      <x:c r="F42" s="21" t="n">
        <x:v>15</x:v>
      </x:c>
      <x:c r="G42" s="21" t="n">
        <x:v>15</x:v>
      </x:c>
      <x:c r="H42" s="21" t="n">
        <x:f>F42-G42</x:f>
        <x:v>0</x:v>
      </x:c>
      <x:c r="I42" s="25" t="str">
        <x:v>08</x:v>
      </x:c>
      <x:c r="J42" s="22" t="n">
        <x:v>2</x:v>
      </x:c>
      <x:c r="K42" s="15" t="str"/>
    </x:row>
    <x:row r="43" ht="44" customHeight="1">
      <x:c r="A43" s="14" t="str">
        <x:v>A</x:v>
      </x:c>
      <x:c r="B43" s="14" t="str">
        <x:v>200</x:v>
      </x:c>
      <x:c r="C43" s="14" t="str">
        <x:v>215-227</x:v>
      </x:c>
      <x:c r="D43" s="14" t="str">
        <x:v>TAG-036</x:v>
      </x:c>
      <x:c r="E43" s="15" t="str">
        <x:v>TANQUE DE GASOLINA 125-Z 16-19</x:v>
      </x:c>
      <x:c r="F43" s="21" t="n">
        <x:v>13</x:v>
      </x:c>
      <x:c r="G43" s="21" t="n">
        <x:v>13</x:v>
      </x:c>
      <x:c r="H43" s="21" t="n">
        <x:f>F43-G43</x:f>
        <x:v>0</x:v>
      </x:c>
      <x:c r="I43" s="25" t="str">
        <x:v>08</x:v>
      </x:c>
      <x:c r="J43" s="22" t="n">
        <x:v>2</x:v>
      </x:c>
      <x:c r="K43" s="15" t="str"/>
    </x:row>
    <x:row r="44" ht="44" customHeight="1">
      <x:c r="A44" s="14" t="str">
        <x:v>A</x:v>
      </x:c>
      <x:c r="B44" s="14" t="str">
        <x:v>200</x:v>
      </x:c>
      <x:c r="C44" s="14" t="str">
        <x:v>228</x:v>
      </x:c>
      <x:c r="D44" s="14" t="str">
        <x:v>RIN-053</x:v>
      </x:c>
      <x:c r="E44" s="15" t="str">
        <x:v>RIN DELANTERO 1.6 X 17 NEGRO FILO VERDE 17 150-Z 17</x:v>
      </x:c>
      <x:c r="F44" s="21" t="n">
        <x:v>2</x:v>
      </x:c>
      <x:c r="G44" s="21" t="n">
        <x:v>2</x:v>
      </x:c>
      <x:c r="H44" s="21" t="n">
        <x:f>F44-G44</x:f>
        <x:v>0</x:v>
      </x:c>
      <x:c r="I44" s="25" t="str">
        <x:v>08</x:v>
      </x:c>
      <x:c r="J44" s="22" t="n">
        <x:v>2</x:v>
      </x:c>
      <x:c r="K44" s="15" t="str"/>
    </x:row>
    <x:row r="45" ht="44" customHeight="1">
      <x:c r="A45" s="14" t="str">
        <x:v>A</x:v>
      </x:c>
      <x:c r="B45" s="14" t="str">
        <x:v>200</x:v>
      </x:c>
      <x:c r="C45" s="14" t="str">
        <x:v>229-230</x:v>
      </x:c>
      <x:c r="D45" s="14" t="str">
        <x:v>RIN-102</x:v>
      </x:c>
      <x:c r="E45" s="15" t="str">
        <x:v>RIN TRASERO 1.6 X 18 PLATEADO 18 FORZA 125 08 / FT-125 TS 16-19</x:v>
      </x:c>
      <x:c r="F45" s="21" t="n">
        <x:v>4</x:v>
      </x:c>
      <x:c r="G45" s="21" t="n">
        <x:v>4</x:v>
      </x:c>
      <x:c r="H45" s="21" t="n">
        <x:f>F45-G45</x:f>
        <x:v>0</x:v>
      </x:c>
      <x:c r="I45" s="25" t="str">
        <x:v>08</x:v>
      </x:c>
      <x:c r="J45" s="22" t="n">
        <x:v>2</x:v>
      </x:c>
      <x:c r="K45" s="15" t="str"/>
    </x:row>
    <x:row r="46" ht="44" customHeight="1">
      <x:c r="A46" s="14" t="str">
        <x:v>A</x:v>
      </x:c>
      <x:c r="B46" s="14" t="str">
        <x:v>200</x:v>
      </x:c>
      <x:c r="C46" s="14" t="str">
        <x:v>231-234</x:v>
      </x:c>
      <x:c r="D46" s="14" t="str">
        <x:v>RIN-A001</x:v>
      </x:c>
      <x:c r="E46" s="15" t="str">
        <x:v>PAR RIN ALUMINO DELANTERO 1.4X18 TRASERO 1.85X18 NEGRO 18 FT-125 14-22/FT-150 14-22</x:v>
      </x:c>
      <x:c r="F46" s="21" t="n">
        <x:v>4</x:v>
      </x:c>
      <x:c r="G46" s="21" t="n">
        <x:v>4</x:v>
      </x:c>
      <x:c r="H46" s="21" t="n">
        <x:f>F46-G46</x:f>
        <x:v>0</x:v>
      </x:c>
      <x:c r="I46" s="25" t="str">
        <x:v>08</x:v>
      </x:c>
      <x:c r="J46" s="22" t="n">
        <x:v>2</x:v>
      </x:c>
      <x:c r="K46" s="15" t="str"/>
    </x:row>
    <x:row r="47" ht="44" customHeight="1">
      <x:c r="A47" s="14" t="str">
        <x:v>A</x:v>
      </x:c>
      <x:c r="B47" s="14" t="str">
        <x:v>200</x:v>
      </x:c>
      <x:c r="C47" s="14" t="str">
        <x:v>235</x:v>
      </x:c>
      <x:c r="D47" s="14" t="str">
        <x:v>RIN-087</x:v>
      </x:c>
      <x:c r="E47" s="15" t="str">
        <x:v>RIN TRASERO 2.15 X 18 BLANCO 18 DM200 16-19 / DM-200 SPORT 19</x:v>
      </x:c>
      <x:c r="F47" s="21" t="n">
        <x:v>3</x:v>
      </x:c>
      <x:c r="G47" s="21" t="n">
        <x:v>3</x:v>
      </x:c>
      <x:c r="H47" s="21" t="n">
        <x:f>F47-G47</x:f>
        <x:v>0</x:v>
      </x:c>
      <x:c r="I47" s="25" t="str">
        <x:v>08</x:v>
      </x:c>
      <x:c r="J47" s="22" t="n">
        <x:v>2</x:v>
      </x:c>
      <x:c r="K47" s="15" t="str"/>
    </x:row>
    <x:row r="48" ht="44" customHeight="1">
      <x:c r="A48" s="14" t="str">
        <x:v>A</x:v>
      </x:c>
      <x:c r="B48" s="14" t="str">
        <x:v>200</x:v>
      </x:c>
      <x:c r="C48" s="14" t="str">
        <x:v>236</x:v>
      </x:c>
      <x:c r="D48" s="14" t="str">
        <x:v>RIN-107</x:v>
      </x:c>
      <x:c r="E48" s="15" t="str">
        <x:v>RIN TRASERO 2.15 X 18 AZUL 18 DM-250 20</x:v>
      </x:c>
      <x:c r="F48" s="21" t="n">
        <x:v>3</x:v>
      </x:c>
      <x:c r="G48" s="21" t="n">
        <x:v>3</x:v>
      </x:c>
      <x:c r="H48" s="21" t="n">
        <x:f>F48-G48</x:f>
        <x:v>0</x:v>
      </x:c>
      <x:c r="I48" s="25" t="str">
        <x:v>08</x:v>
      </x:c>
      <x:c r="J48" s="22" t="n">
        <x:v>2</x:v>
      </x:c>
      <x:c r="K48" s="15" t="str"/>
    </x:row>
    <x:row r="49" ht="44" customHeight="1">
      <x:c r="A49" s="14" t="str">
        <x:v>A</x:v>
      </x:c>
      <x:c r="B49" s="14" t="str">
        <x:v>200</x:v>
      </x:c>
      <x:c r="C49" s="14" t="str">
        <x:v>237; 324</x:v>
      </x:c>
      <x:c r="D49" s="14" t="str">
        <x:v>RIN-121</x:v>
      </x:c>
      <x:c r="E49" s="15" t="str">
        <x:v>RIN TRASERO 3.50 X 17 VERDE 17 250-Z 19-22</x:v>
      </x:c>
      <x:c r="F49" s="21" t="n">
        <x:v>3</x:v>
      </x:c>
      <x:c r="G49" s="21" t="n">
        <x:v>3</x:v>
      </x:c>
      <x:c r="H49" s="21" t="n">
        <x:f>F49-G49</x:f>
        <x:v>0</x:v>
      </x:c>
      <x:c r="I49" s="25" t="str">
        <x:v>01</x:v>
      </x:c>
      <x:c r="J49" s="22" t="n">
        <x:v>3</x:v>
      </x:c>
      <x:c r="K49" s="15" t="str">
        <x:v>Caja 237: 2 pz; Caja 324: 1 pz.</x:v>
      </x:c>
    </x:row>
    <x:row r="50" ht="44" customHeight="1">
      <x:c r="A50" s="14" t="str">
        <x:v>A</x:v>
      </x:c>
      <x:c r="B50" s="14" t="str">
        <x:v>200</x:v>
      </x:c>
      <x:c r="C50" s="14" t="str">
        <x:v>238; 320</x:v>
      </x:c>
      <x:c r="D50" s="14" t="str">
        <x:v>RIN-127</x:v>
      </x:c>
      <x:c r="E50" s="15" t="str">
        <x:v>RIN TRASERO DE RAYOS 3.0 X 17 NEGRO MATE VN ROCKETMAN-250 20-23/VN ROCKETMAN-250SP 20-22/VN SCREAMER-250 21-23/VN THUNDERSTAR-250 20-23/VN ROCKETMAN-300 24/VN THUNDERSTAR-300XL 24</x:v>
      </x:c>
      <x:c r="F50" s="21" t="n">
        <x:v>4</x:v>
      </x:c>
      <x:c r="G50" s="21" t="n">
        <x:v>4</x:v>
      </x:c>
      <x:c r="H50" s="21" t="n">
        <x:f>F50-G50</x:f>
        <x:v>0</x:v>
      </x:c>
      <x:c r="I50" s="25" t="str">
        <x:v>08</x:v>
      </x:c>
      <x:c r="J50" s="22" t="n">
        <x:v>2</x:v>
      </x:c>
      <x:c r="K50" s="15" t="str">
        <x:v>Caja 238: 3 pz; Caja 320: 1 pz.</x:v>
      </x:c>
    </x:row>
    <x:row r="51" ht="44" customHeight="1">
      <x:c r="A51" s="14" t="str">
        <x:v>A</x:v>
      </x:c>
      <x:c r="B51" s="14" t="str">
        <x:v>200</x:v>
      </x:c>
      <x:c r="C51" s="14" t="str">
        <x:v>239-242</x:v>
      </x:c>
      <x:c r="D51" s="14" t="str">
        <x:v>TAG-058</x:v>
      </x:c>
      <x:c r="E51" s="15" t="str">
        <x:v>TANQUE DE GASOLINA GRAFITO VN ROCKETMAN-250 18-22</x:v>
      </x:c>
      <x:c r="F51" s="21" t="n">
        <x:v>4</x:v>
      </x:c>
      <x:c r="G51" s="21" t="n">
        <x:v>4</x:v>
      </x:c>
      <x:c r="H51" s="21" t="n">
        <x:f>F51-G51</x:f>
        <x:v>0</x:v>
      </x:c>
      <x:c r="I51" s="25" t="str">
        <x:v>01</x:v>
      </x:c>
      <x:c r="J51" s="22" t="n">
        <x:v>3</x:v>
      </x:c>
      <x:c r="K51" s="15" t="str"/>
    </x:row>
    <x:row r="52" ht="44" customHeight="1">
      <x:c r="A52" s="14" t="str">
        <x:v>A</x:v>
      </x:c>
      <x:c r="B52" s="14" t="str">
        <x:v>200</x:v>
      </x:c>
      <x:c r="C52" s="14" t="str">
        <x:v>243-245</x:v>
      </x:c>
      <x:c r="D52" s="14" t="str">
        <x:v>ARO-016</x:v>
      </x:c>
      <x:c r="E52" s="15" t="str">
        <x:v>ARO DE RIN 3.0 X 17 BLANCO DELANTERO DM-150 17-19</x:v>
      </x:c>
      <x:c r="F52" s="21" t="n">
        <x:v>18</x:v>
      </x:c>
      <x:c r="G52" s="21" t="n">
        <x:v>18</x:v>
      </x:c>
      <x:c r="H52" s="21" t="n">
        <x:f>F52-G52</x:f>
        <x:v>0</x:v>
      </x:c>
      <x:c r="I52" s="25" t="str">
        <x:v>08</x:v>
      </x:c>
      <x:c r="J52" s="22" t="n">
        <x:v>2</x:v>
      </x:c>
      <x:c r="K52" s="15" t="str"/>
    </x:row>
    <x:row r="53" ht="44" customHeight="1">
      <x:c r="A53" s="14" t="str">
        <x:v>A</x:v>
      </x:c>
      <x:c r="B53" s="14" t="str">
        <x:v>200</x:v>
      </x:c>
      <x:c r="C53" s="14" t="str">
        <x:v>246</x:v>
      </x:c>
      <x:c r="D53" s="14" t="str">
        <x:v>RIN-141</x:v>
      </x:c>
      <x:c r="E53" s="15" t="str">
        <x:v>RIN DELANTERO DE RAYOS 1.85 X 21 VERDE 21 IT DM-200 22-24</x:v>
      </x:c>
      <x:c r="F53" s="21" t="n">
        <x:v>5</x:v>
      </x:c>
      <x:c r="G53" s="21" t="n">
        <x:v>5</x:v>
      </x:c>
      <x:c r="H53" s="21" t="n">
        <x:f>F53-G53</x:f>
        <x:v>0</x:v>
      </x:c>
      <x:c r="I53" s="25" t="str">
        <x:v>08</x:v>
      </x:c>
      <x:c r="J53" s="22" t="n">
        <x:v>2</x:v>
      </x:c>
      <x:c r="K53" s="15" t="str"/>
    </x:row>
    <x:row r="54" ht="44" customHeight="1">
      <x:c r="A54" s="14" t="str">
        <x:v>A</x:v>
      </x:c>
      <x:c r="B54" s="14" t="str">
        <x:v>200</x:v>
      </x:c>
      <x:c r="C54" s="14" t="str">
        <x:v>247-250</x:v>
      </x:c>
      <x:c r="D54" s="14" t="str">
        <x:v>RIN-109</x:v>
      </x:c>
      <x:c r="E54" s="15" t="str">
        <x:v>RIN TRASERO 2.15 X 16  GRIS 16 RC-200 19-21</x:v>
      </x:c>
      <x:c r="F54" s="21" t="n">
        <x:v>8</x:v>
      </x:c>
      <x:c r="G54" s="21" t="n">
        <x:v>8</x:v>
      </x:c>
      <x:c r="H54" s="21" t="n">
        <x:f>F54-G54</x:f>
        <x:v>0</x:v>
      </x:c>
      <x:c r="I54" s="25" t="str">
        <x:v>08</x:v>
      </x:c>
      <x:c r="J54" s="22" t="n">
        <x:v>2</x:v>
      </x:c>
      <x:c r="K54" s="15" t="str"/>
    </x:row>
    <x:row r="55" ht="44" customHeight="1">
      <x:c r="A55" s="14" t="str">
        <x:v>A</x:v>
      </x:c>
      <x:c r="B55" s="14" t="str">
        <x:v>200</x:v>
      </x:c>
      <x:c r="C55" s="14" t="str">
        <x:v>251; 261</x:v>
      </x:c>
      <x:c r="D55" s="14" t="str">
        <x:v>RIN-103</x:v>
      </x:c>
      <x:c r="E55" s="15" t="str">
        <x:v>RIN DELANTERO 1.4 X 18 PLATEADO 18 FORZA 125 08 / FT-125 TS 16-19</x:v>
      </x:c>
      <x:c r="F55" s="21" t="n">
        <x:v>3</x:v>
      </x:c>
      <x:c r="G55" s="21" t="n">
        <x:v>3</x:v>
      </x:c>
      <x:c r="H55" s="21" t="n">
        <x:f>F55-G55</x:f>
        <x:v>0</x:v>
      </x:c>
      <x:c r="I55" s="25" t="str">
        <x:v>08</x:v>
      </x:c>
      <x:c r="J55" s="22" t="n">
        <x:v>2</x:v>
      </x:c>
      <x:c r="K55" s="15" t="str">
        <x:v>Caja 251: 2 pz; Caja 261: 1 pz.</x:v>
      </x:c>
    </x:row>
    <x:row r="56" ht="44" customHeight="1">
      <x:c r="A56" s="14" t="str">
        <x:v>A</x:v>
      </x:c>
      <x:c r="B56" s="14" t="str">
        <x:v>200</x:v>
      </x:c>
      <x:c r="C56" s="14" t="str">
        <x:v>252-260</x:v>
      </x:c>
      <x:c r="D56" s="14" t="str">
        <x:v>RIN-146</x:v>
      </x:c>
      <x:c r="E56" s="15" t="str">
        <x:v>RIN TRASERO 3.0 X 17 NEGRO FILO GRIS 17 IT 200-Z 22-23</x:v>
      </x:c>
      <x:c r="F56" s="21" t="n">
        <x:v>18</x:v>
      </x:c>
      <x:c r="G56" s="21" t="n">
        <x:v>18</x:v>
      </x:c>
      <x:c r="H56" s="21" t="n">
        <x:f>F56-G56</x:f>
        <x:v>0</x:v>
      </x:c>
      <x:c r="I56" s="25" t="str">
        <x:v>08</x:v>
      </x:c>
      <x:c r="J56" s="22" t="n">
        <x:v>2</x:v>
      </x:c>
      <x:c r="K56" s="15" t="str"/>
    </x:row>
    <x:row r="57" ht="44" customHeight="1">
      <x:c r="A57" s="14" t="str">
        <x:v>A</x:v>
      </x:c>
      <x:c r="B57" s="14" t="str">
        <x:v>200</x:v>
      </x:c>
      <x:c r="C57" s="14" t="str">
        <x:v>261; 262</x:v>
      </x:c>
      <x:c r="D57" s="14" t="str">
        <x:v>RIN-099</x:v>
      </x:c>
      <x:c r="E57" s="15" t="str">
        <x:v>RIN DELANTERO 1.4 X 18 NEGRO / NARANJA 18 IT DT-150SP 17-24/ IT FT-150GTS 16-18/ IT FT-250 15-16/ IT FT-250TS 21-24</x:v>
      </x:c>
      <x:c r="F57" s="21" t="n">
        <x:v>3</x:v>
      </x:c>
      <x:c r="G57" s="21" t="n">
        <x:v>3</x:v>
      </x:c>
      <x:c r="H57" s="21" t="n">
        <x:f>F57-G57</x:f>
        <x:v>0</x:v>
      </x:c>
      <x:c r="I57" s="25" t="str">
        <x:v>08</x:v>
      </x:c>
      <x:c r="J57" s="22" t="n">
        <x:v>2</x:v>
      </x:c>
      <x:c r="K57" s="15" t="str">
        <x:v>Caja 261: 1 pz; Caja 262: 2 pz.</x:v>
      </x:c>
    </x:row>
    <x:row r="58" ht="44" customHeight="1">
      <x:c r="A58" s="14" t="str">
        <x:v>A</x:v>
      </x:c>
      <x:c r="B58" s="14" t="str">
        <x:v>200</x:v>
      </x:c>
      <x:c r="C58" s="14" t="str">
        <x:v>263-265</x:v>
      </x:c>
      <x:c r="D58" s="14" t="str">
        <x:v>RIN-119</x:v>
      </x:c>
      <x:c r="E58" s="15" t="str">
        <x:v>RIN DELANTERO 2.50 X 17 NEGRO (DISCO) 17 VORT-X 200 18-22 /VORT-X 250 22-23</x:v>
      </x:c>
      <x:c r="F58" s="21" t="n">
        <x:v>6</x:v>
      </x:c>
      <x:c r="G58" s="21" t="n">
        <x:v>6</x:v>
      </x:c>
      <x:c r="H58" s="21" t="n">
        <x:f>F58-G58</x:f>
        <x:v>0</x:v>
      </x:c>
      <x:c r="I58" s="25" t="str">
        <x:v>08</x:v>
      </x:c>
      <x:c r="J58" s="22" t="n">
        <x:v>2</x:v>
      </x:c>
      <x:c r="K58" s="15" t="str"/>
    </x:row>
    <x:row r="59" ht="44" customHeight="1">
      <x:c r="A59" s="14" t="str">
        <x:v>A</x:v>
      </x:c>
      <x:c r="B59" s="14" t="str">
        <x:v>200</x:v>
      </x:c>
      <x:c r="C59" s="14" t="str">
        <x:v>266-267</x:v>
      </x:c>
      <x:c r="D59" s="14" t="str">
        <x:v>RIN-098</x:v>
      </x:c>
      <x:c r="E59" s="15" t="str">
        <x:v>RIN TRASERO 2.15 X 18 NEGRO / NARANJA 18 IT DT-150SP 17-24/ IT FT-150SP II 17-20/ IT FT-150GTS 16-18/ IT FT-250 15-16/ IT FT-250TS 21-24</x:v>
      </x:c>
      <x:c r="F59" s="21" t="n">
        <x:v>4</x:v>
      </x:c>
      <x:c r="G59" s="21" t="n">
        <x:v>4</x:v>
      </x:c>
      <x:c r="H59" s="21" t="n">
        <x:f>F59-G59</x:f>
        <x:v>0</x:v>
      </x:c>
      <x:c r="I59" s="25" t="str">
        <x:v>08</x:v>
      </x:c>
      <x:c r="J59" s="22" t="n">
        <x:v>2</x:v>
      </x:c>
      <x:c r="K59" s="15" t="str"/>
    </x:row>
    <x:row r="60" ht="44" customHeight="1">
      <x:c r="A60" s="14" t="str">
        <x:v>A</x:v>
      </x:c>
      <x:c r="B60" s="14" t="str">
        <x:v>200</x:v>
      </x:c>
      <x:c r="C60" s="14" t="str">
        <x:v>268-277</x:v>
      </x:c>
      <x:c r="D60" s="14" t="str">
        <x:v>TAG-063</x:v>
      </x:c>
      <x:c r="E60" s="15" t="str">
        <x:v>TANQUE DE GASOLINA NEGRO VN NITROX-200 19-24 / VN NITROX-250T2 19-24 /  VN NITROX-300T3 23-24</x:v>
      </x:c>
      <x:c r="F60" s="21" t="n">
        <x:v>10</x:v>
      </x:c>
      <x:c r="G60" s="21" t="n">
        <x:v>10</x:v>
      </x:c>
      <x:c r="H60" s="21" t="n">
        <x:f>F60-G60</x:f>
        <x:v>0</x:v>
      </x:c>
      <x:c r="I60" s="25" t="str">
        <x:v>08</x:v>
      </x:c>
      <x:c r="J60" s="22" t="n">
        <x:v>2</x:v>
      </x:c>
      <x:c r="K60" s="15" t="str"/>
    </x:row>
    <x:row r="61" ht="44" customHeight="1">
      <x:c r="A61" s="14" t="str">
        <x:v>A</x:v>
      </x:c>
      <x:c r="B61" s="14" t="str">
        <x:v>200</x:v>
      </x:c>
      <x:c r="C61" s="14" t="str">
        <x:v>278-282</x:v>
      </x:c>
      <x:c r="D61" s="14" t="str">
        <x:v>TAG-009</x:v>
      </x:c>
      <x:c r="E61" s="15" t="str">
        <x:v>TANQUE DE GASOLINA ROJO CON NEGRO FORZA-150 09-13/ FT-150 14-16/FT-150G 16-18/FT150G NE 18-21</x:v>
      </x:c>
      <x:c r="F61" s="21" t="n">
        <x:v>5</x:v>
      </x:c>
      <x:c r="G61" s="21" t="n">
        <x:v>5</x:v>
      </x:c>
      <x:c r="H61" s="21" t="n">
        <x:f>F61-G61</x:f>
        <x:v>0</x:v>
      </x:c>
      <x:c r="I61" s="25" t="str">
        <x:v>08</x:v>
      </x:c>
      <x:c r="J61" s="22" t="n">
        <x:v>2</x:v>
      </x:c>
      <x:c r="K61" s="15" t="str"/>
    </x:row>
    <x:row r="62" ht="44" customHeight="1">
      <x:c r="A62" s="14" t="str">
        <x:v>A</x:v>
      </x:c>
      <x:c r="B62" s="14" t="str">
        <x:v>200</x:v>
      </x:c>
      <x:c r="C62" s="14" t="str">
        <x:v>283-288</x:v>
      </x:c>
      <x:c r="D62" s="14" t="str">
        <x:v>TAG-056</x:v>
      </x:c>
      <x:c r="E62" s="15" t="str">
        <x:v>TANQUE DE GASOLINA ROJO IT FT-250TS 21-23</x:v>
      </x:c>
      <x:c r="F62" s="21" t="n">
        <x:v>6</x:v>
      </x:c>
      <x:c r="G62" s="21" t="n">
        <x:v>6</x:v>
      </x:c>
      <x:c r="H62" s="21" t="n">
        <x:f>F62-G62</x:f>
        <x:v>0</x:v>
      </x:c>
      <x:c r="I62" s="25" t="str">
        <x:v>08</x:v>
      </x:c>
      <x:c r="J62" s="22" t="n">
        <x:v>2</x:v>
      </x:c>
      <x:c r="K62" s="15" t="str"/>
    </x:row>
    <x:row r="63" ht="44" customHeight="1">
      <x:c r="A63" s="14" t="str">
        <x:v>A</x:v>
      </x:c>
      <x:c r="B63" s="14" t="str">
        <x:v>200</x:v>
      </x:c>
      <x:c r="C63" s="14" t="str">
        <x:v>289-299</x:v>
      </x:c>
      <x:c r="D63" s="14" t="str">
        <x:v>TAG-026</x:v>
      </x:c>
      <x:c r="E63" s="15" t="str">
        <x:v>TANQUE DE GASOLINA NEGRO / ROJO FORZA 125 09-12 / FT-125 ROJA 13-17</x:v>
      </x:c>
      <x:c r="F63" s="21" t="n">
        <x:v>11</x:v>
      </x:c>
      <x:c r="G63" s="21" t="n">
        <x:v>11</x:v>
      </x:c>
      <x:c r="H63" s="21" t="n">
        <x:f>F63-G63</x:f>
        <x:v>0</x:v>
      </x:c>
      <x:c r="I63" s="25" t="str">
        <x:v>08</x:v>
      </x:c>
      <x:c r="J63" s="22" t="n">
        <x:v>2</x:v>
      </x:c>
      <x:c r="K63" s="15" t="str"/>
    </x:row>
    <x:row r="64" ht="44" customHeight="1">
      <x:c r="A64" s="14" t="str">
        <x:v>A</x:v>
      </x:c>
      <x:c r="B64" s="14" t="str">
        <x:v>200</x:v>
      </x:c>
      <x:c r="C64" s="14" t="str">
        <x:v>300-306</x:v>
      </x:c>
      <x:c r="D64" s="14" t="str">
        <x:v>TAG-032</x:v>
      </x:c>
      <x:c r="E64" s="15" t="str">
        <x:v>TANQUE DE GASOLINA ROJO FT-150</x:v>
      </x:c>
      <x:c r="F64" s="21" t="n">
        <x:v>7</x:v>
      </x:c>
      <x:c r="G64" s="21" t="n">
        <x:v>7</x:v>
      </x:c>
      <x:c r="H64" s="21" t="n">
        <x:f>F64-G64</x:f>
        <x:v>0</x:v>
      </x:c>
      <x:c r="I64" s="25" t="str">
        <x:v>08</x:v>
      </x:c>
      <x:c r="J64" s="22" t="n">
        <x:v>2</x:v>
      </x:c>
      <x:c r="K64" s="15" t="str"/>
    </x:row>
    <x:row r="65" ht="44" customHeight="1">
      <x:c r="A65" s="14" t="str">
        <x:v>A</x:v>
      </x:c>
      <x:c r="B65" s="14" t="str">
        <x:v>200</x:v>
      </x:c>
      <x:c r="C65" s="14" t="str">
        <x:v>307</x:v>
      </x:c>
      <x:c r="D65" s="14" t="str">
        <x:v>TAG-039</x:v>
      </x:c>
      <x:c r="E65" s="15" t="str">
        <x:v>TANQUE DE GASOLINA GRIS FT-150 GRAFITO 18-22</x:v>
      </x:c>
      <x:c r="F65" s="21" t="n">
        <x:v>1</x:v>
      </x:c>
      <x:c r="G65" s="21" t="n">
        <x:v>1</x:v>
      </x:c>
      <x:c r="H65" s="21" t="n">
        <x:f>F65-G65</x:f>
        <x:v>0</x:v>
      </x:c>
      <x:c r="I65" s="25" t="str">
        <x:v>08</x:v>
      </x:c>
      <x:c r="J65" s="22" t="n">
        <x:v>2</x:v>
      </x:c>
      <x:c r="K65" s="15" t="str"/>
    </x:row>
    <x:row r="66" ht="44" customHeight="1">
      <x:c r="A66" s="14" t="str">
        <x:v>A</x:v>
      </x:c>
      <x:c r="B66" s="14" t="str">
        <x:v>200</x:v>
      </x:c>
      <x:c r="C66" s="14" t="str">
        <x:v>308-313</x:v>
      </x:c>
      <x:c r="D66" s="14" t="str">
        <x:v>TAG-059</x:v>
      </x:c>
      <x:c r="E66" s="15" t="str">
        <x:v>TANQUE DE GASOLINA BLANCO VN XPRESS-150 16-22</x:v>
      </x:c>
      <x:c r="F66" s="21" t="n">
        <x:v>6</x:v>
      </x:c>
      <x:c r="G66" s="21" t="n">
        <x:v>6</x:v>
      </x:c>
      <x:c r="H66" s="21" t="n">
        <x:f>F66-G66</x:f>
        <x:v>0</x:v>
      </x:c>
      <x:c r="I66" s="25" t="str">
        <x:v>08</x:v>
      </x:c>
      <x:c r="J66" s="22" t="n">
        <x:v>2</x:v>
      </x:c>
      <x:c r="K66" s="15" t="str"/>
    </x:row>
    <x:row r="67" ht="44" customHeight="1">
      <x:c r="A67" s="14" t="str">
        <x:v>A</x:v>
      </x:c>
      <x:c r="B67" s="14" t="str">
        <x:v>200</x:v>
      </x:c>
      <x:c r="C67" s="14" t="str">
        <x:v>314</x:v>
      </x:c>
      <x:c r="D67" s="14" t="str">
        <x:v>TAG-038</x:v>
      </x:c>
      <x:c r="E67" s="15" t="str">
        <x:v>TANQUE DE GASOLINA NEGRO / ROJO FT-150G 16-18</x:v>
      </x:c>
      <x:c r="F67" s="21" t="n">
        <x:v>1</x:v>
      </x:c>
      <x:c r="G67" s="21" t="n">
        <x:v>1</x:v>
      </x:c>
      <x:c r="H67" s="21" t="n">
        <x:f>F67-G67</x:f>
        <x:v>0</x:v>
      </x:c>
      <x:c r="I67" s="25" t="str">
        <x:v>08</x:v>
      </x:c>
      <x:c r="J67" s="22" t="n">
        <x:v>2</x:v>
      </x:c>
      <x:c r="K67" s="15" t="str"/>
    </x:row>
    <x:row r="68" ht="44" customHeight="1">
      <x:c r="A68" s="14" t="str">
        <x:v>A</x:v>
      </x:c>
      <x:c r="B68" s="14" t="str">
        <x:v>200</x:v>
      </x:c>
      <x:c r="C68" s="14" t="str">
        <x:v>315</x:v>
      </x:c>
      <x:c r="D68" s="14" t="str">
        <x:v>TAG-062</x:v>
      </x:c>
      <x:c r="E68" s="15" t="str">
        <x:v>TANQUE DE GASOLINA NEGRO-ROJO VN CYLCONE-150 21-23 / VN CYCLONE-200 21-23</x:v>
      </x:c>
      <x:c r="F68" s="21" t="n">
        <x:v>1</x:v>
      </x:c>
      <x:c r="G68" s="21" t="n">
        <x:v>1</x:v>
      </x:c>
      <x:c r="H68" s="21" t="n">
        <x:f>F68-G68</x:f>
        <x:v>0</x:v>
      </x:c>
      <x:c r="I68" s="25" t="str">
        <x:v>08</x:v>
      </x:c>
      <x:c r="J68" s="22" t="n">
        <x:v>2</x:v>
      </x:c>
      <x:c r="K68" s="15" t="str"/>
    </x:row>
    <x:row r="69" ht="44" customHeight="1">
      <x:c r="A69" s="14" t="str">
        <x:v>A</x:v>
      </x:c>
      <x:c r="B69" s="14" t="str">
        <x:v>200</x:v>
      </x:c>
      <x:c r="C69" s="14" t="str">
        <x:v>316</x:v>
      </x:c>
      <x:c r="D69" s="14" t="str">
        <x:v>RIN-142</x:v>
      </x:c>
      <x:c r="E69" s="15" t="str">
        <x:v>RIN TRASERO DE RAYOS 2.15 X 17 NEGROS 17 IT DM-150 22-24</x:v>
      </x:c>
      <x:c r="F69" s="21" t="n">
        <x:v>4</x:v>
      </x:c>
      <x:c r="G69" s="21" t="n">
        <x:v>4</x:v>
      </x:c>
      <x:c r="H69" s="21" t="n">
        <x:f>F69-G69</x:f>
        <x:v>0</x:v>
      </x:c>
      <x:c r="I69" s="25" t="str">
        <x:v>08</x:v>
      </x:c>
      <x:c r="J69" s="22" t="n">
        <x:v>2</x:v>
      </x:c>
      <x:c r="K69" s="15" t="str"/>
    </x:row>
    <x:row r="70" ht="44" customHeight="1">
      <x:c r="A70" s="14" t="str">
        <x:v>A</x:v>
      </x:c>
      <x:c r="B70" s="14" t="str">
        <x:v>200</x:v>
      </x:c>
      <x:c r="C70" s="14" t="str">
        <x:v>317-318</x:v>
      </x:c>
      <x:c r="D70" s="14" t="str">
        <x:v>ARO-009</x:v>
      </x:c>
      <x:c r="E70" s="15" t="str">
        <x:v>ARO DE RIN TRASERO NEGRO MATE DM-200 14-20/DM-200SP 19-21</x:v>
      </x:c>
      <x:c r="F70" s="21" t="n">
        <x:v>14</x:v>
      </x:c>
      <x:c r="G70" s="21" t="n">
        <x:v>14</x:v>
      </x:c>
      <x:c r="H70" s="21" t="n">
        <x:f>F70-G70</x:f>
        <x:v>0</x:v>
      </x:c>
      <x:c r="I70" s="25" t="str">
        <x:v>08</x:v>
      </x:c>
      <x:c r="J70" s="22" t="n">
        <x:v>2</x:v>
      </x:c>
      <x:c r="K70" s="15" t="str"/>
    </x:row>
    <x:row r="71" ht="44" customHeight="1">
      <x:c r="A71" s="14" t="str">
        <x:v>A</x:v>
      </x:c>
      <x:c r="B71" s="14" t="str">
        <x:v>200</x:v>
      </x:c>
      <x:c r="C71" s="14" t="str">
        <x:v>319</x:v>
      </x:c>
      <x:c r="D71" s="14" t="str">
        <x:v>RIN-118</x:v>
      </x:c>
      <x:c r="E71" s="15" t="str">
        <x:v>RIN DELANTERO 1.85 X 21 AZUL DISCO 21 DM-250 20-22</x:v>
      </x:c>
      <x:c r="F71" s="21" t="n">
        <x:v>5</x:v>
      </x:c>
      <x:c r="G71" s="21" t="n">
        <x:v>5</x:v>
      </x:c>
      <x:c r="H71" s="21" t="n">
        <x:f>F71-G71</x:f>
        <x:v>0</x:v>
      </x:c>
      <x:c r="I71" s="25" t="str">
        <x:v>08</x:v>
      </x:c>
      <x:c r="J71" s="22" t="n">
        <x:v>2</x:v>
      </x:c>
      <x:c r="K71" s="15" t="str"/>
    </x:row>
    <x:row r="72" ht="44" customHeight="1">
      <x:c r="A72" s="14" t="str">
        <x:v>A</x:v>
      </x:c>
      <x:c r="B72" s="14" t="str">
        <x:v>200</x:v>
      </x:c>
      <x:c r="C72" s="14" t="str">
        <x:v>320</x:v>
      </x:c>
      <x:c r="D72" s="14" t="str">
        <x:v>RIN-088</x:v>
      </x:c>
      <x:c r="E72" s="15" t="str">
        <x:v>RIN DELANTERO 3.0 X 17 BLANCO 17 DM-150 17-19</x:v>
      </x:c>
      <x:c r="F72" s="21" t="n">
        <x:v>3</x:v>
      </x:c>
      <x:c r="G72" s="21" t="n">
        <x:v>3</x:v>
      </x:c>
      <x:c r="H72" s="21" t="n">
        <x:f>F72-G72</x:f>
        <x:v>0</x:v>
      </x:c>
      <x:c r="I72" s="25" t="str">
        <x:v>08</x:v>
      </x:c>
      <x:c r="J72" s="22" t="n">
        <x:v>2</x:v>
      </x:c>
      <x:c r="K72" s="15" t="str"/>
    </x:row>
    <x:row r="73" ht="44" customHeight="1">
      <x:c r="A73" s="14" t="str">
        <x:v>A</x:v>
      </x:c>
      <x:c r="B73" s="14" t="str">
        <x:v>200</x:v>
      </x:c>
      <x:c r="C73" s="14" t="str">
        <x:v>321</x:v>
      </x:c>
      <x:c r="D73" s="14" t="str">
        <x:v>ARO-022</x:v>
      </x:c>
      <x:c r="E73" s="15" t="str">
        <x:v>ARO DE RIN 1.6 X 21 DELANTERO NEGRO IT DM-250X 22-23</x:v>
      </x:c>
      <x:c r="F73" s="21" t="n">
        <x:v>4</x:v>
      </x:c>
      <x:c r="G73" s="21" t="n">
        <x:v>4</x:v>
      </x:c>
      <x:c r="H73" s="21" t="n">
        <x:f>F73-G73</x:f>
        <x:v>0</x:v>
      </x:c>
      <x:c r="I73" s="25" t="str">
        <x:v>08</x:v>
      </x:c>
      <x:c r="J73" s="22" t="n">
        <x:v>2</x:v>
      </x:c>
      <x:c r="K73" s="15" t="str"/>
    </x:row>
    <x:row r="74" ht="44" customHeight="1">
      <x:c r="A74" s="14" t="str">
        <x:v>A</x:v>
      </x:c>
      <x:c r="B74" s="14" t="str">
        <x:v>200</x:v>
      </x:c>
      <x:c r="C74" s="14" t="str">
        <x:v>321</x:v>
      </x:c>
      <x:c r="D74" s="14" t="str">
        <x:v>ARO-025</x:v>
      </x:c>
      <x:c r="E74" s="15" t="str">
        <x:v>ARO DE RIN DELANTERO 1.85*21 AZUL IT DM-200 25</x:v>
      </x:c>
      <x:c r="F74" s="21" t="n">
        <x:v>1</x:v>
      </x:c>
      <x:c r="G74" s="21" t="n">
        <x:v>1</x:v>
      </x:c>
      <x:c r="H74" s="21" t="n">
        <x:f>F74-G74</x:f>
        <x:v>0</x:v>
      </x:c>
      <x:c r="I74" s="25" t="str">
        <x:v>08</x:v>
      </x:c>
      <x:c r="J74" s="22" t="n">
        <x:v>2</x:v>
      </x:c>
      <x:c r="K74" s="15" t="str"/>
    </x:row>
    <x:row r="75" ht="44" customHeight="1">
      <x:c r="A75" s="14" t="str">
        <x:v>A</x:v>
      </x:c>
      <x:c r="B75" s="14" t="str">
        <x:v>200</x:v>
      </x:c>
      <x:c r="C75" s="14" t="str">
        <x:v>322</x:v>
      </x:c>
      <x:c r="D75" s="14" t="str">
        <x:v>RIN-050</x:v>
      </x:c>
      <x:c r="E75" s="15" t="str">
        <x:v>RIN DELANTERO 1.4 X 21 NEGRO 21 DM-200 14-18</x:v>
      </x:c>
      <x:c r="F75" s="21" t="n">
        <x:v>1</x:v>
      </x:c>
      <x:c r="G75" s="21" t="n">
        <x:v>1</x:v>
      </x:c>
      <x:c r="H75" s="21" t="n">
        <x:f>F75-G75</x:f>
        <x:v>0</x:v>
      </x:c>
      <x:c r="I75" s="25" t="str">
        <x:v>08</x:v>
      </x:c>
      <x:c r="J75" s="22" t="n">
        <x:v>2</x:v>
      </x:c>
      <x:c r="K75" s="15" t="str"/>
    </x:row>
    <x:row r="76" ht="44" customHeight="1">
      <x:c r="A76" s="14" t="str">
        <x:v>A</x:v>
      </x:c>
      <x:c r="B76" s="14" t="str">
        <x:v>200</x:v>
      </x:c>
      <x:c r="C76" s="14" t="str">
        <x:v>322</x:v>
      </x:c>
      <x:c r="D76" s="14" t="str">
        <x:v>RIN-086</x:v>
      </x:c>
      <x:c r="E76" s="15" t="str">
        <x:v>RIN DELANTERO 1.85 X 21 BLANCO 21 DM200 16-19 / DM-200 SPORT 19</x:v>
      </x:c>
      <x:c r="F76" s="21" t="n">
        <x:v>3</x:v>
      </x:c>
      <x:c r="G76" s="21" t="n">
        <x:v>3</x:v>
      </x:c>
      <x:c r="H76" s="21" t="n">
        <x:f>F76-G76</x:f>
        <x:v>0</x:v>
      </x:c>
      <x:c r="I76" s="25" t="str">
        <x:v>08</x:v>
      </x:c>
      <x:c r="J76" s="22" t="n">
        <x:v>2</x:v>
      </x:c>
      <x:c r="K76" s="15" t="str"/>
    </x:row>
    <x:row r="77" ht="44" customHeight="1">
      <x:c r="A77" s="14" t="str">
        <x:v>A</x:v>
      </x:c>
      <x:c r="B77" s="14" t="str">
        <x:v>200</x:v>
      </x:c>
      <x:c r="C77" s="14" t="str">
        <x:v>322</x:v>
      </x:c>
      <x:c r="D77" s="14" t="str">
        <x:v>RIN-WO025</x:v>
      </x:c>
      <x:c r="E77" s="15" t="str">
        <x:v>RIN DELANTERO 1.4 X 18 DE RAYOS CROMADO 18 FT-125 / KURAZAI CLASSIC 125 18</x:v>
      </x:c>
      <x:c r="F77" s="21" t="n">
        <x:v>1</x:v>
      </x:c>
      <x:c r="G77" s="21" t="n">
        <x:v>1</x:v>
      </x:c>
      <x:c r="H77" s="21" t="n">
        <x:f>F77-G77</x:f>
        <x:v>0</x:v>
      </x:c>
      <x:c r="I77" s="25" t="str">
        <x:v>08</x:v>
      </x:c>
      <x:c r="J77" s="22" t="n">
        <x:v>2</x:v>
      </x:c>
      <x:c r="K77" s="15" t="str"/>
    </x:row>
    <x:row r="78" ht="44" customHeight="1">
      <x:c r="A78" s="14" t="str">
        <x:v>A</x:v>
      </x:c>
      <x:c r="B78" s="14" t="str">
        <x:v>200</x:v>
      </x:c>
      <x:c r="C78" s="14" t="str">
        <x:v>323</x:v>
      </x:c>
      <x:c r="D78" s="14" t="str">
        <x:v>RIN-174</x:v>
      </x:c>
      <x:c r="E78" s="15" t="str">
        <x:v>RIN TRASERO 3.5 X 17 NEGRO 17 VN STORM-250 21-24/VN TORNADO-250 22-23/VN STORM-300 24/VN TORNADO-300 24</x:v>
      </x:c>
      <x:c r="F78" s="21" t="n">
        <x:v>2</x:v>
      </x:c>
      <x:c r="G78" s="21" t="n">
        <x:v>2</x:v>
      </x:c>
      <x:c r="H78" s="21" t="n">
        <x:f>F78-G78</x:f>
        <x:v>0</x:v>
      </x:c>
      <x:c r="I78" s="25" t="str">
        <x:v>08</x:v>
      </x:c>
      <x:c r="J78" s="22" t="n">
        <x:v>2</x:v>
      </x:c>
      <x:c r="K78" s="15" t="str"/>
    </x:row>
    <x:row r="79" ht="44" customHeight="1">
      <x:c r="A79" s="14" t="str">
        <x:v>A</x:v>
      </x:c>
      <x:c r="B79" s="14" t="str">
        <x:v>200</x:v>
      </x:c>
      <x:c r="C79" s="14" t="str">
        <x:v>324</x:v>
      </x:c>
      <x:c r="D79" s="14" t="str">
        <x:v>RIN-170</x:v>
      </x:c>
      <x:c r="E79" s="15" t="str">
        <x:v>RIN DELANTERO 2.5 X 17 ROJO 17 IT 280-Z 24</x:v>
      </x:c>
      <x:c r="F79" s="21" t="n">
        <x:v>1</x:v>
      </x:c>
      <x:c r="G79" s="21" t="n">
        <x:v>1</x:v>
      </x:c>
      <x:c r="H79" s="21" t="n">
        <x:f>F79-G79</x:f>
        <x:v>0</x:v>
      </x:c>
      <x:c r="I79" s="25" t="str">
        <x:v>08</x:v>
      </x:c>
      <x:c r="J79" s="22" t="n">
        <x:v>2</x:v>
      </x:c>
      <x:c r="K79" s="15" t="str"/>
    </x:row>
    <x:row r="80" ht="76" customHeight="1">
      <x:c r="A80" s="17" t="str">
        <x:v>A</x:v>
      </x:c>
      <x:c r="B80" s="17" t="str">
        <x:v>600</x:v>
      </x:c>
      <x:c r="C80" s="17" t="str">
        <x:v>325-340</x:v>
      </x:c>
      <x:c r="D80" s="17" t="str">
        <x:v>BAJ-044</x:v>
      </x:c>
      <x:c r="E80" s="18" t="str">
        <x:v>BARRAS DE SUSPENSION DER / IZQ NEGRO VN CROSSMAX PRO-250 21-22</x:v>
      </x:c>
      <x:c r="F80" s="23" t="n">
        <x:v>32</x:v>
      </x:c>
      <x:c r="G80" s="23" t="n">
        <x:v>32</x:v>
      </x:c>
      <x:c r="H80" s="23" t="n">
        <x:f>F80-G80</x:f>
        <x:v>0</x:v>
      </x:c>
      <x:c r="I80" s="26" t="str">
        <x:v>02</x:v>
      </x:c>
      <x:c r="J80" s="24" t="n">
        <x:v>6</x:v>
      </x:c>
      <x:c r="K80" s="18" t="str">
        <x:v>Cajas 325–340 legibles. La anotación final /4 no concilia directamente con 32 unidades documentales; confirmar unidad/contenido por caja. No convertir pares ni duplicar piezas.</x:v>
      </x:c>
    </x:row>
    <x:row r="81" ht="44" customHeight="1">
      <x:c r="A81" s="14" t="str">
        <x:v>A</x:v>
      </x:c>
      <x:c r="B81" s="14" t="str">
        <x:v>600</x:v>
      </x:c>
      <x:c r="C81" s="14" t="str">
        <x:v>341</x:v>
      </x:c>
      <x:c r="D81" s="14" t="str">
        <x:v>BAJ-014</x:v>
      </x:c>
      <x:c r="E81" s="15" t="str">
        <x:v>BARRAS DE SUSPENSION DER / IZQ NEGRO RC-150GT</x:v>
      </x:c>
      <x:c r="F81" s="21" t="n">
        <x:v>4</x:v>
      </x:c>
      <x:c r="G81" s="21" t="n">
        <x:v>4</x:v>
      </x:c>
      <x:c r="H81" s="21" t="n">
        <x:f>F81-G81</x:f>
        <x:v>0</x:v>
      </x:c>
      <x:c r="I81" s="25" t="str">
        <x:v>02</x:v>
      </x:c>
      <x:c r="J81" s="22" t="n">
        <x:v>6</x:v>
      </x:c>
      <x:c r="K81" s="15" t="str"/>
    </x:row>
    <x:row r="82" ht="44" customHeight="1">
      <x:c r="A82" s="14" t="str">
        <x:v>A</x:v>
      </x:c>
      <x:c r="B82" s="14" t="str">
        <x:v>600</x:v>
      </x:c>
      <x:c r="C82" s="14" t="str">
        <x:v>342</x:v>
      </x:c>
      <x:c r="D82" s="14" t="str">
        <x:v>BAJ-058</x:v>
      </x:c>
      <x:c r="E82" s="15" t="str">
        <x:v>BARRAS DE SUSPENSIÓN DER / IZQ YA YBR-125</x:v>
      </x:c>
      <x:c r="F82" s="21" t="n">
        <x:v>4</x:v>
      </x:c>
      <x:c r="G82" s="21" t="n">
        <x:v>4</x:v>
      </x:c>
      <x:c r="H82" s="21" t="n">
        <x:f>F82-G82</x:f>
        <x:v>0</x:v>
      </x:c>
      <x:c r="I82" s="25" t="str">
        <x:v>02</x:v>
      </x:c>
      <x:c r="J82" s="22" t="n">
        <x:v>6</x:v>
      </x:c>
      <x:c r="K82" s="15" t="str"/>
    </x:row>
    <x:row r="83" ht="44" customHeight="1">
      <x:c r="A83" s="14" t="str">
        <x:v>A</x:v>
      </x:c>
      <x:c r="B83" s="14" t="str">
        <x:v>600</x:v>
      </x:c>
      <x:c r="C83" s="14" t="str">
        <x:v>343</x:v>
      </x:c>
      <x:c r="D83" s="14" t="str">
        <x:v>BAJ-008</x:v>
      </x:c>
      <x:c r="E83" s="15" t="str">
        <x:v>BARRAS DE SUSPENSION DER / IZQ GRIS DS-150/DS-150 NEGRO/DIABOLO-150 / XS-150 NEGRO/XS-150 NEGRO</x:v>
      </x:c>
      <x:c r="F83" s="21" t="n">
        <x:v>4</x:v>
      </x:c>
      <x:c r="G83" s="21" t="n">
        <x:v>4</x:v>
      </x:c>
      <x:c r="H83" s="21" t="n">
        <x:f>F83-G83</x:f>
        <x:v>0</x:v>
      </x:c>
      <x:c r="I83" s="25" t="str">
        <x:v>02</x:v>
      </x:c>
      <x:c r="J83" s="22" t="n">
        <x:v>6</x:v>
      </x:c>
      <x:c r="K83" s="15" t="str"/>
    </x:row>
    <x:row r="84" ht="44" customHeight="1">
      <x:c r="A84" s="14" t="str">
        <x:v>A</x:v>
      </x:c>
      <x:c r="B84" s="14" t="str">
        <x:v>600</x:v>
      </x:c>
      <x:c r="C84" s="14" t="str">
        <x:v>344</x:v>
      </x:c>
      <x:c r="D84" s="14" t="str">
        <x:v>PAR-006</x:v>
      </x:c>
      <x:c r="E84" s="15" t="str">
        <x:v>PARRILLA NEGRO DT-125 CLASICA 17 / DT-125 DELIVERY 17 / DT-125 SPORT 17 / DT-150 CLASICA 17 / DT-150 DELIVERY 17 /</x:v>
      </x:c>
      <x:c r="F84" s="21" t="n">
        <x:v>1</x:v>
      </x:c>
      <x:c r="G84" s="21" t="n">
        <x:v>1</x:v>
      </x:c>
      <x:c r="H84" s="21" t="n">
        <x:f>F84-G84</x:f>
        <x:v>0</x:v>
      </x:c>
      <x:c r="I84" s="25" t="str">
        <x:v>02</x:v>
      </x:c>
      <x:c r="J84" s="22" t="n">
        <x:v>6</x:v>
      </x:c>
      <x:c r="K84" s="15" t="str"/>
    </x:row>
    <x:row r="85" ht="44" customHeight="1">
      <x:c r="A85" s="14" t="str">
        <x:v>A</x:v>
      </x:c>
      <x:c r="B85" s="14" t="str">
        <x:v>600</x:v>
      </x:c>
      <x:c r="C85" s="14" t="str">
        <x:v>344</x:v>
      </x:c>
      <x:c r="D85" s="14" t="str">
        <x:v>PAR-063</x:v>
      </x:c>
      <x:c r="E85" s="15" t="str">
        <x:v>PARRILLA-SLIDER CUBRE PIERNAS NEGRO YA YBR-125</x:v>
      </x:c>
      <x:c r="F85" s="21" t="n">
        <x:v>1</x:v>
      </x:c>
      <x:c r="G85" s="21" t="n">
        <x:v>1</x:v>
      </x:c>
      <x:c r="H85" s="21" t="n">
        <x:f>F85-G85</x:f>
        <x:v>0</x:v>
      </x:c>
      <x:c r="I85" s="25" t="str">
        <x:v>02</x:v>
      </x:c>
      <x:c r="J85" s="22" t="n">
        <x:v>6</x:v>
      </x:c>
      <x:c r="K85" s="15" t="str"/>
    </x:row>
    <x:row r="86" ht="44" customHeight="1">
      <x:c r="A86" s="14" t="str">
        <x:v>A</x:v>
      </x:c>
      <x:c r="B86" s="14" t="str">
        <x:v>600</x:v>
      </x:c>
      <x:c r="C86" s="14" t="str">
        <x:v>344</x:v>
      </x:c>
      <x:c r="D86" s="14" t="str">
        <x:v>PAR-090</x:v>
      </x:c>
      <x:c r="E86" s="15" t="str">
        <x:v>PARRILLA DE METAL TRASERA NEGRO IT RC-150 16-24</x:v>
      </x:c>
      <x:c r="F86" s="21" t="n">
        <x:v>3</x:v>
      </x:c>
      <x:c r="G86" s="21" t="n">
        <x:v>3</x:v>
      </x:c>
      <x:c r="H86" s="21" t="n">
        <x:f>F86-G86</x:f>
        <x:v>0</x:v>
      </x:c>
      <x:c r="I86" s="25" t="str">
        <x:v>02</x:v>
      </x:c>
      <x:c r="J86" s="22" t="n">
        <x:v>6</x:v>
      </x:c>
      <x:c r="K86" s="15" t="str"/>
    </x:row>
    <x:row r="87" ht="44" customHeight="1">
      <x:c r="A87" s="14" t="str">
        <x:v>A</x:v>
      </x:c>
      <x:c r="B87" s="14" t="str">
        <x:v>600</x:v>
      </x:c>
      <x:c r="C87" s="14" t="str">
        <x:v>345</x:v>
      </x:c>
      <x:c r="D87" s="14" t="str">
        <x:v>BAJ-039</x:v>
      </x:c>
      <x:c r="E87" s="15" t="str">
        <x:v>BARRAS DE SUSPENSION DER/IZQ PLATA TC-200BL 16-18/TC-250 15-20</x:v>
      </x:c>
      <x:c r="F87" s="21" t="n">
        <x:v>1</x:v>
      </x:c>
      <x:c r="G87" s="21" t="n">
        <x:v>1</x:v>
      </x:c>
      <x:c r="H87" s="21" t="n">
        <x:f>F87-G87</x:f>
        <x:v>0</x:v>
      </x:c>
      <x:c r="I87" s="25" t="str">
        <x:v>02</x:v>
      </x:c>
      <x:c r="J87" s="22" t="n">
        <x:v>6</x:v>
      </x:c>
      <x:c r="K87" s="15" t="str"/>
    </x:row>
    <x:row r="88" ht="44" customHeight="1">
      <x:c r="A88" s="14" t="str">
        <x:v>A</x:v>
      </x:c>
      <x:c r="B88" s="14" t="str">
        <x:v>600</x:v>
      </x:c>
      <x:c r="C88" s="14" t="str">
        <x:v>345</x:v>
      </x:c>
      <x:c r="D88" s="14" t="str">
        <x:v>BAJ-060</x:v>
      </x:c>
      <x:c r="E88" s="15" t="str">
        <x:v>BARRAS DE SUSPENSIÓN DER / IZQ VN ALPINA-300 22-24</x:v>
      </x:c>
      <x:c r="F88" s="21" t="n">
        <x:v>1</x:v>
      </x:c>
      <x:c r="G88" s="21" t="n">
        <x:v>1</x:v>
      </x:c>
      <x:c r="H88" s="21" t="n">
        <x:f>F88-G88</x:f>
        <x:v>0</x:v>
      </x:c>
      <x:c r="I88" s="25" t="str">
        <x:v>02</x:v>
      </x:c>
      <x:c r="J88" s="22" t="n">
        <x:v>6</x:v>
      </x:c>
      <x:c r="K88" s="15" t="str"/>
    </x:row>
    <x:row r="89" ht="44" customHeight="1">
      <x:c r="A89" s="14" t="str">
        <x:v>A</x:v>
      </x:c>
      <x:c r="B89" s="14" t="str">
        <x:v>600</x:v>
      </x:c>
      <x:c r="C89" s="14" t="str">
        <x:v>345</x:v>
      </x:c>
      <x:c r="D89" s="14" t="str">
        <x:v>BAJ-065</x:v>
      </x:c>
      <x:c r="E89" s="15" t="str">
        <x:v>BARRAS DE SUSPENSIËN DER / IZQ BJ BOXER-150</x:v>
      </x:c>
      <x:c r="F89" s="21" t="n">
        <x:v>1</x:v>
      </x:c>
      <x:c r="G89" s="21" t="n">
        <x:v>1</x:v>
      </x:c>
      <x:c r="H89" s="21" t="n">
        <x:f>F89-G89</x:f>
        <x:v>0</x:v>
      </x:c>
      <x:c r="I89" s="25" t="str">
        <x:v>02</x:v>
      </x:c>
      <x:c r="J89" s="22" t="n">
        <x:v>6</x:v>
      </x:c>
      <x:c r="K89" s="15" t="str"/>
    </x:row>
    <x:row r="90" ht="76" customHeight="1">
      <x:c r="A90" s="17" t="str">
        <x:v>A</x:v>
      </x:c>
      <x:c r="B90" s="17" t="str">
        <x:v>400</x:v>
      </x:c>
      <x:c r="C90" s="17" t="str">
        <x:v>346-347</x:v>
      </x:c>
      <x:c r="D90" s="17" t="str">
        <x:v>BPO-007</x:v>
      </x:c>
      <x:c r="E90" s="18" t="str">
        <x:v>BARRA POSAPIES Y PARADOR LATERAL CGL-125 TOOL</x:v>
      </x:c>
      <x:c r="F90" s="23" t="n">
        <x:v>30</x:v>
      </x:c>
      <x:c r="G90" s="23" t="n">
        <x:v>30</x:v>
      </x:c>
      <x:c r="H90" s="23" t="n">
        <x:f>F90-G90</x:f>
        <x:v>0</x:v>
      </x:c>
      <x:c r="I90" s="26" t="str">
        <x:v>05</x:v>
      </x:c>
      <x:c r="J90" s="24" t="n">
        <x:v>5</x:v>
      </x:c>
      <x:c r="K90" s="18" t="str">
        <x:v>Cajas 346–347 legibles; 30 unidades documentales. La anotación final por caja no es inequívoca; no se infiere distribución.</x:v>
      </x:c>
    </x:row>
    <x:row r="91" ht="44" customHeight="1">
      <x:c r="A91" s="14" t="str">
        <x:v>A</x:v>
      </x:c>
      <x:c r="B91" s="14" t="str">
        <x:v>400</x:v>
      </x:c>
      <x:c r="C91" s="14" t="str">
        <x:v>346</x:v>
      </x:c>
      <x:c r="D91" s="14" t="str">
        <x:v>BPO-011</x:v>
      </x:c>
      <x:c r="E91" s="15" t="str">
        <x:v>BARRA POSAPIE COMPLETA Y PARADOR LATERAL AT-125 17-20/AT-125RT 20-22</x:v>
      </x:c>
      <x:c r="F91" s="21" t="n">
        <x:v>1</x:v>
      </x:c>
      <x:c r="G91" s="21" t="n">
        <x:v>1</x:v>
      </x:c>
      <x:c r="H91" s="21" t="n">
        <x:f>F91-G91</x:f>
        <x:v>0</x:v>
      </x:c>
      <x:c r="I91" s="25" t="str">
        <x:v>05</x:v>
      </x:c>
      <x:c r="J91" s="22" t="n">
        <x:v>5</x:v>
      </x:c>
      <x:c r="K91" s="15" t="str"/>
    </x:row>
    <x:row r="92" ht="44" customHeight="1">
      <x:c r="A92" s="14" t="str">
        <x:v>A</x:v>
      </x:c>
      <x:c r="B92" s="14" t="str">
        <x:v>300</x:v>
      </x:c>
      <x:c r="C92" s="14" t="str">
        <x:v>346</x:v>
      </x:c>
      <x:c r="D92" s="14" t="str">
        <x:v>VAF-015</x:v>
      </x:c>
      <x:c r="E92" s="15" t="str">
        <x:v>VARILLA DE FRENO TRASERO IT DM-200 14-17/IT DM-150SP 19-21/IT DM-200SP 19-21/IT DM-250 20-23/VN CROSSMAX-200 19-22/VN CROSSMAX-150 20-22</x:v>
      </x:c>
      <x:c r="F92" s="21" t="n">
        <x:v>6</x:v>
      </x:c>
      <x:c r="G92" s="21" t="n">
        <x:v>6</x:v>
      </x:c>
      <x:c r="H92" s="21" t="n">
        <x:f>F92-G92</x:f>
        <x:v>0</x:v>
      </x:c>
      <x:c r="I92" s="25" t="str">
        <x:v>06</x:v>
      </x:c>
      <x:c r="J92" s="22" t="n">
        <x:v>4</x:v>
      </x:c>
      <x:c r="K92" s="15" t="str"/>
    </x:row>
    <x:row r="93" ht="44" customHeight="1">
      <x:c r="A93" s="14" t="str">
        <x:v>A</x:v>
      </x:c>
      <x:c r="B93" s="14" t="str">
        <x:v>400</x:v>
      </x:c>
      <x:c r="C93" s="14" t="str">
        <x:v>348</x:v>
      </x:c>
      <x:c r="D93" s="14" t="str">
        <x:v>BPO-010</x:v>
      </x:c>
      <x:c r="E93" s="15" t="str">
        <x:v>BARRA POSAPIE COMPLETA Y PARADOR LATERAL AT-110 14-16 / ARGENTA-110 05-13</x:v>
      </x:c>
      <x:c r="F93" s="21" t="n">
        <x:v>15</x:v>
      </x:c>
      <x:c r="G93" s="21" t="n">
        <x:v>15</x:v>
      </x:c>
      <x:c r="H93" s="21" t="n">
        <x:f>F93-G93</x:f>
        <x:v>0</x:v>
      </x:c>
      <x:c r="I93" s="25" t="str">
        <x:v>05</x:v>
      </x:c>
      <x:c r="J93" s="22" t="n">
        <x:v>5</x:v>
      </x:c>
      <x:c r="K93" s="15" t="str"/>
    </x:row>
    <x:row r="94" ht="44" customHeight="1">
      <x:c r="A94" s="14" t="str">
        <x:v>A</x:v>
      </x:c>
      <x:c r="B94" s="14" t="str">
        <x:v>100</x:v>
      </x:c>
      <x:c r="C94" s="14" t="str">
        <x:v>349-363</x:v>
      </x:c>
      <x:c r="D94" s="14" t="str">
        <x:v>HOR-024</x:v>
      </x:c>
      <x:c r="E94" s="15" t="str">
        <x:v>HORQUILLA TRASERA DM-200 14-18</x:v>
      </x:c>
      <x:c r="F94" s="21" t="n">
        <x:v>75</x:v>
      </x:c>
      <x:c r="G94" s="21" t="n">
        <x:v>75</x:v>
      </x:c>
      <x:c r="H94" s="21" t="n">
        <x:f>F94-G94</x:f>
        <x:v>0</x:v>
      </x:c>
      <x:c r="I94" s="25" t="str">
        <x:v>07</x:v>
      </x:c>
      <x:c r="J94" s="22" t="n">
        <x:v>1</x:v>
      </x:c>
      <x:c r="K94" s="15" t="str"/>
    </x:row>
    <x:row r="95" ht="44" customHeight="1">
      <x:c r="A95" s="14" t="str">
        <x:v>A</x:v>
      </x:c>
      <x:c r="B95" s="14" t="str">
        <x:v>100</x:v>
      </x:c>
      <x:c r="C95" s="14" t="str">
        <x:v>364-367</x:v>
      </x:c>
      <x:c r="D95" s="14" t="str">
        <x:v>ESC-050</x:v>
      </x:c>
      <x:c r="E95" s="15" t="str">
        <x:v>ESCAPE NEGRO VN CROSSMAX-250PRO 19-22/VN CROSSMAX-250 19-22</x:v>
      </x:c>
      <x:c r="F95" s="21" t="n">
        <x:v>16</x:v>
      </x:c>
      <x:c r="G95" s="21" t="n">
        <x:v>16</x:v>
      </x:c>
      <x:c r="H95" s="21" t="n">
        <x:f>F95-G95</x:f>
        <x:v>0</x:v>
      </x:c>
      <x:c r="I95" s="25" t="str">
        <x:v>07</x:v>
      </x:c>
      <x:c r="J95" s="22" t="n">
        <x:v>1</x:v>
      </x:c>
      <x:c r="K95" s="15" t="str"/>
    </x:row>
    <x:row r="96" ht="44" customHeight="1">
      <x:c r="A96" s="14" t="str">
        <x:v>A</x:v>
      </x:c>
      <x:c r="B96" s="14" t="str">
        <x:v>100</x:v>
      </x:c>
      <x:c r="C96" s="14" t="str">
        <x:v>368-372</x:v>
      </x:c>
      <x:c r="D96" s="14" t="str">
        <x:v>HOR-026</x:v>
      </x:c>
      <x:c r="E96" s="15" t="str">
        <x:v>HORQUILLA TRASERA 170-Z 16-18 / 200-Z 19-23</x:v>
      </x:c>
      <x:c r="F96" s="21" t="n">
        <x:v>25</x:v>
      </x:c>
      <x:c r="G96" s="21" t="n">
        <x:v>25</x:v>
      </x:c>
      <x:c r="H96" s="21" t="n">
        <x:f>F96-G96</x:f>
        <x:v>0</x:v>
      </x:c>
      <x:c r="I96" s="25" t="str">
        <x:v>07</x:v>
      </x:c>
      <x:c r="J96" s="22" t="n">
        <x:v>1</x:v>
      </x:c>
      <x:c r="K96" s="15" t="str"/>
    </x:row>
    <x:row r="97" ht="44" customHeight="1">
      <x:c r="A97" s="14" t="str">
        <x:v>A</x:v>
      </x:c>
      <x:c r="B97" s="14" t="str">
        <x:v>100</x:v>
      </x:c>
      <x:c r="C97" s="14" t="str">
        <x:v>373-380</x:v>
      </x:c>
      <x:c r="D97" s="14" t="str">
        <x:v>HOR-014</x:v>
      </x:c>
      <x:c r="E97" s="15" t="str">
        <x:v>HORQUILLA TRASERA FT180 1317 / FT200 1415 / FT200 AMARILLA 15 / FT250 1516 / RT180</x:v>
      </x:c>
      <x:c r="F97" s="21" t="n">
        <x:v>40</x:v>
      </x:c>
      <x:c r="G97" s="21" t="n">
        <x:v>40</x:v>
      </x:c>
      <x:c r="H97" s="21" t="n">
        <x:f>F97-G97</x:f>
        <x:v>0</x:v>
      </x:c>
      <x:c r="I97" s="25" t="str">
        <x:v>07</x:v>
      </x:c>
      <x:c r="J97" s="22" t="n">
        <x:v>1</x:v>
      </x:c>
      <x:c r="K97" s="15" t="str"/>
    </x:row>
    <x:row r="98" ht="44" customHeight="1">
      <x:c r="A98" s="14" t="str">
        <x:v>A</x:v>
      </x:c>
      <x:c r="B98" s="14" t="str">
        <x:v>100</x:v>
      </x:c>
      <x:c r="C98" s="14" t="str">
        <x:v>381-388</x:v>
      </x:c>
      <x:c r="D98" s="14" t="str">
        <x:v>ESC-033</x:v>
      </x:c>
      <x:c r="E98" s="15" t="str">
        <x:v>ESCAPE NEGRO 150-SZ 16-18/150-Z 14-16/150-Z 1921/170-Z 16-18</x:v>
      </x:c>
      <x:c r="F98" s="21" t="n">
        <x:v>16</x:v>
      </x:c>
      <x:c r="G98" s="21" t="n">
        <x:v>16</x:v>
      </x:c>
      <x:c r="H98" s="21" t="n">
        <x:f>F98-G98</x:f>
        <x:v>0</x:v>
      </x:c>
      <x:c r="I98" s="25" t="str">
        <x:v>07</x:v>
      </x:c>
      <x:c r="J98" s="22" t="n">
        <x:v>1</x:v>
      </x:c>
      <x:c r="K98" s="15" t="str"/>
    </x:row>
    <x:row r="99" ht="44" customHeight="1">
      <x:c r="A99" s="14" t="str">
        <x:v>A</x:v>
      </x:c>
      <x:c r="B99" s="14" t="str">
        <x:v>100</x:v>
      </x:c>
      <x:c r="C99" s="14" t="str">
        <x:v>389-391</x:v>
      </x:c>
      <x:c r="D99" s="14" t="str">
        <x:v>ESC-013</x:v>
      </x:c>
      <x:c r="E99" s="15" t="str">
        <x:v>ESCAPE NEGRO IT FT-150GT 11-13</x:v>
      </x:c>
      <x:c r="F99" s="21" t="n">
        <x:v>12</x:v>
      </x:c>
      <x:c r="G99" s="21" t="n">
        <x:v>12</x:v>
      </x:c>
      <x:c r="H99" s="21" t="n">
        <x:f>F99-G99</x:f>
        <x:v>0</x:v>
      </x:c>
      <x:c r="I99" s="25" t="str">
        <x:v>07</x:v>
      </x:c>
      <x:c r="J99" s="22" t="n">
        <x:v>1</x:v>
      </x:c>
      <x:c r="K99" s="15" t="str"/>
    </x:row>
    <x:row r="100" ht="44" customHeight="1">
      <x:c r="A100" s="14" t="str">
        <x:v>A</x:v>
      </x:c>
      <x:c r="B100" s="14" t="str">
        <x:v>100</x:v>
      </x:c>
      <x:c r="C100" s="14" t="str">
        <x:v>392</x:v>
      </x:c>
      <x:c r="D100" s="14" t="str">
        <x:v>ESC-030</x:v>
      </x:c>
      <x:c r="E100" s="15" t="str">
        <x:v>ESCAPE NEGRO IT 125-Z 16-25</x:v>
      </x:c>
      <x:c r="F100" s="21" t="n">
        <x:v>4</x:v>
      </x:c>
      <x:c r="G100" s="21" t="n">
        <x:v>4</x:v>
      </x:c>
      <x:c r="H100" s="21" t="n">
        <x:f>F100-G100</x:f>
        <x:v>0</x:v>
      </x:c>
      <x:c r="I100" s="25" t="str">
        <x:v>07</x:v>
      </x:c>
      <x:c r="J100" s="22" t="n">
        <x:v>1</x:v>
      </x:c>
      <x:c r="K100" s="15" t="str"/>
    </x:row>
    <x:row r="101" ht="44" customHeight="1">
      <x:c r="A101" s="14" t="str">
        <x:v>A</x:v>
      </x:c>
      <x:c r="B101" s="14" t="str">
        <x:v>100</x:v>
      </x:c>
      <x:c r="C101" s="14" t="str">
        <x:v>393-404</x:v>
      </x:c>
      <x:c r="D101" s="14" t="str">
        <x:v>ESC-049</x:v>
      </x:c>
      <x:c r="E101" s="15" t="str">
        <x:v>ESCAPE NEGRO VN NITROX-250 T2 19-21/VN NITROX-200 19-21/VN NITROX-250T3 22-24</x:v>
      </x:c>
      <x:c r="F101" s="21" t="n">
        <x:v>48</x:v>
      </x:c>
      <x:c r="G101" s="21" t="n">
        <x:v>48</x:v>
      </x:c>
      <x:c r="H101" s="21" t="n">
        <x:f>F101-G101</x:f>
        <x:v>0</x:v>
      </x:c>
      <x:c r="I101" s="25" t="str">
        <x:v>07</x:v>
      </x:c>
      <x:c r="J101" s="22" t="n">
        <x:v>1</x:v>
      </x:c>
      <x:c r="K101" s="15" t="str"/>
    </x:row>
    <x:row r="102" ht="44" customHeight="1">
      <x:c r="A102" s="14" t="str">
        <x:v>A</x:v>
      </x:c>
      <x:c r="B102" s="14" t="str">
        <x:v>100</x:v>
      </x:c>
      <x:c r="C102" s="14" t="str">
        <x:v>405-417</x:v>
      </x:c>
      <x:c r="D102" s="14" t="str">
        <x:v>ESC-026</x:v>
      </x:c>
      <x:c r="E102" s="15" t="str">
        <x:v>ESCAPE NEGRO AT-110RT 12-14/AT-110 RT LED 14-16/AT-110RT CON LED 16-21/XT-110RT II 17-19/XT-110 20-21</x:v>
      </x:c>
      <x:c r="F102" s="21" t="n">
        <x:v>52</x:v>
      </x:c>
      <x:c r="G102" s="21" t="n">
        <x:v>52</x:v>
      </x:c>
      <x:c r="H102" s="21" t="n">
        <x:f>F102-G102</x:f>
        <x:v>0</x:v>
      </x:c>
      <x:c r="I102" s="25" t="str">
        <x:v>07</x:v>
      </x:c>
      <x:c r="J102" s="22" t="n">
        <x:v>1</x:v>
      </x:c>
      <x:c r="K102" s="15" t="str"/>
    </x:row>
    <x:row r="103" ht="44" customHeight="1">
      <x:c r="A103" s="14" t="str">
        <x:v>A</x:v>
      </x:c>
      <x:c r="B103" s="14" t="str">
        <x:v>100</x:v>
      </x:c>
      <x:c r="C103" s="14" t="str">
        <x:v>418</x:v>
      </x:c>
      <x:c r="D103" s="14" t="str">
        <x:v>ESC-014</x:v>
      </x:c>
      <x:c r="E103" s="15" t="str">
        <x:v>ESCAPE NEGRO FORZA-150 06-13/FT-150 14-16/FT-150G 16-17/FT-150G NE 18-21</x:v>
      </x:c>
      <x:c r="F103" s="21" t="n">
        <x:v>4</x:v>
      </x:c>
      <x:c r="G103" s="21" t="n">
        <x:v>4</x:v>
      </x:c>
      <x:c r="H103" s="21" t="n">
        <x:f>F103-G103</x:f>
        <x:v>0</x:v>
      </x:c>
      <x:c r="I103" s="25" t="str">
        <x:v>07</x:v>
      </x:c>
      <x:c r="J103" s="22" t="n">
        <x:v>1</x:v>
      </x:c>
      <x:c r="K103" s="15" t="str"/>
    </x:row>
    <x:row r="104" ht="44" customHeight="1">
      <x:c r="A104" s="14" t="str">
        <x:v>A</x:v>
      </x:c>
      <x:c r="B104" s="14" t="str">
        <x:v>100</x:v>
      </x:c>
      <x:c r="C104" s="14" t="str">
        <x:v>419</x:v>
      </x:c>
      <x:c r="D104" s="14" t="str">
        <x:v>MAB-057</x:v>
      </x:c>
      <x:c r="E104" s="15" t="str">
        <x:v>MANUBRIO NEGRO AT-125 17-20/AT-125RT 20-21</x:v>
      </x:c>
      <x:c r="F104" s="21" t="n">
        <x:v>2</x:v>
      </x:c>
      <x:c r="G104" s="21" t="n">
        <x:v>2</x:v>
      </x:c>
      <x:c r="H104" s="21" t="n">
        <x:f>F104-G104</x:f>
        <x:v>0</x:v>
      </x:c>
      <x:c r="I104" s="25" t="str">
        <x:v>07</x:v>
      </x:c>
      <x:c r="J104" s="22" t="n">
        <x:v>1</x:v>
      </x:c>
      <x:c r="K104" s="15" t="str"/>
    </x:row>
    <x:row r="105" ht="44" customHeight="1">
      <x:c r="A105" s="14" t="str">
        <x:v>A</x:v>
      </x:c>
      <x:c r="B105" s="14" t="str">
        <x:v>100</x:v>
      </x:c>
      <x:c r="C105" s="14" t="str">
        <x:v>419</x:v>
      </x:c>
      <x:c r="D105" s="14" t="str">
        <x:v>MAB-085</x:v>
      </x:c>
      <x:c r="E105" s="15" t="str">
        <x:v>MANUBRIO NEGRO IT DM-200 22-23/IT DM-250 20-23</x:v>
      </x:c>
      <x:c r="F105" s="21" t="n">
        <x:v>14</x:v>
      </x:c>
      <x:c r="G105" s="21" t="n">
        <x:v>14</x:v>
      </x:c>
      <x:c r="H105" s="21" t="n">
        <x:f>F105-G105</x:f>
        <x:v>0</x:v>
      </x:c>
      <x:c r="I105" s="25" t="str">
        <x:v>07</x:v>
      </x:c>
      <x:c r="J105" s="22" t="n">
        <x:v>1</x:v>
      </x:c>
      <x:c r="K105" s="15" t="str"/>
    </x:row>
    <x:row r="106" ht="44" customHeight="1">
      <x:c r="A106" s="14" t="str">
        <x:v>A</x:v>
      </x:c>
      <x:c r="B106" s="14" t="str">
        <x:v>100</x:v>
      </x:c>
      <x:c r="C106" s="14" t="str">
        <x:v>420</x:v>
      </x:c>
      <x:c r="D106" s="14" t="str">
        <x:v>ESC-036</x:v>
      </x:c>
      <x:c r="E106" s="15" t="str">
        <x:v>ESCAPE NEGRO DM-200 14-21/DM-200 SPORT 19-21</x:v>
      </x:c>
      <x:c r="F106" s="21" t="n">
        <x:v>2</x:v>
      </x:c>
      <x:c r="G106" s="21" t="n">
        <x:v>2</x:v>
      </x:c>
      <x:c r="H106" s="21" t="n">
        <x:f>F106-G106</x:f>
        <x:v>0</x:v>
      </x:c>
      <x:c r="I106" s="25" t="str">
        <x:v>07</x:v>
      </x:c>
      <x:c r="J106" s="22" t="n">
        <x:v>1</x:v>
      </x:c>
      <x:c r="K106" s="15" t="str"/>
    </x:row>
    <x:row r="107" ht="44" customHeight="1">
      <x:c r="A107" s="14" t="str">
        <x:v>A</x:v>
      </x:c>
      <x:c r="B107" s="14" t="str">
        <x:v>100</x:v>
      </x:c>
      <x:c r="C107" s="14" t="str">
        <x:v>420</x:v>
      </x:c>
      <x:c r="D107" s="14" t="str">
        <x:v>ESC-043</x:v>
      </x:c>
      <x:c r="E107" s="15" t="str">
        <x:v>ESCAPE NEGRO IT 125-FL 19-23/IT 125-FL GPS 22-25/IT 125-FL PAR 19-20</x:v>
      </x:c>
      <x:c r="F107" s="21" t="n">
        <x:v>1</x:v>
      </x:c>
      <x:c r="G107" s="21" t="n">
        <x:v>1</x:v>
      </x:c>
      <x:c r="H107" s="21" t="n">
        <x:f>F107-G107</x:f>
        <x:v>0</x:v>
      </x:c>
      <x:c r="I107" s="25" t="str">
        <x:v>07</x:v>
      </x:c>
      <x:c r="J107" s="22" t="n">
        <x:v>1</x:v>
      </x:c>
      <x:c r="K107" s="15" t="str"/>
    </x:row>
    <x:row r="108" ht="44" customHeight="1">
      <x:c r="A108" s="14" t="str">
        <x:v>A</x:v>
      </x:c>
      <x:c r="B108" s="14" t="str">
        <x:v>100</x:v>
      </x:c>
      <x:c r="C108" s="14" t="str">
        <x:v>420</x:v>
      </x:c>
      <x:c r="D108" s="14" t="str">
        <x:v>HOR-030</x:v>
      </x:c>
      <x:c r="E108" s="15" t="str">
        <x:v>HORQUILLA TRASERA VN CROSSMAX-250 20-22 / VN CROSSMAX-250PRO 21-22</x:v>
      </x:c>
      <x:c r="F108" s="21" t="n">
        <x:v>2</x:v>
      </x:c>
      <x:c r="G108" s="21" t="n">
        <x:v>2</x:v>
      </x:c>
      <x:c r="H108" s="21" t="n">
        <x:f>F108-G108</x:f>
        <x:v>0</x:v>
      </x:c>
      <x:c r="I108" s="25" t="str">
        <x:v>07</x:v>
      </x:c>
      <x:c r="J108" s="22" t="n">
        <x:v>1</x:v>
      </x:c>
      <x:c r="K108" s="15" t="str"/>
    </x:row>
    <x:row r="109" ht="44" customHeight="1">
      <x:c r="A109" s="14" t="str">
        <x:v>A</x:v>
      </x:c>
      <x:c r="B109" s="14" t="str">
        <x:v>100</x:v>
      </x:c>
      <x:c r="C109" s="14" t="str">
        <x:v>421</x:v>
      </x:c>
      <x:c r="D109" s="14" t="str">
        <x:v>MAB-007</x:v>
      </x:c>
      <x:c r="E109" s="15" t="str">
        <x:v>MANUBRIO YBR-125 PLATA</x:v>
      </x:c>
      <x:c r="F109" s="21" t="n">
        <x:v>14</x:v>
      </x:c>
      <x:c r="G109" s="21" t="n">
        <x:v>14</x:v>
      </x:c>
      <x:c r="H109" s="21" t="n">
        <x:f>F109-G109</x:f>
        <x:v>0</x:v>
      </x:c>
      <x:c r="I109" s="25" t="str">
        <x:v>07</x:v>
      </x:c>
      <x:c r="J109" s="22" t="n">
        <x:v>1</x:v>
      </x:c>
      <x:c r="K109" s="15" t="str"/>
    </x:row>
    <x:row r="110" ht="44" customHeight="1">
      <x:c r="A110" s="14" t="str">
        <x:v>A</x:v>
      </x:c>
      <x:c r="B110" s="14" t="str">
        <x:v>100</x:v>
      </x:c>
      <x:c r="C110" s="14" t="str">
        <x:v>421</x:v>
      </x:c>
      <x:c r="D110" s="14" t="str">
        <x:v>MAB-099</x:v>
      </x:c>
      <x:c r="E110" s="15" t="str">
        <x:v>MANUBRIO NEGRO MATE IT DM-150 22-23</x:v>
      </x:c>
      <x:c r="F110" s="21" t="n">
        <x:v>3</x:v>
      </x:c>
      <x:c r="G110" s="21" t="n">
        <x:v>3</x:v>
      </x:c>
      <x:c r="H110" s="21" t="n">
        <x:f>F110-G110</x:f>
        <x:v>0</x:v>
      </x:c>
      <x:c r="I110" s="25" t="str">
        <x:v>07</x:v>
      </x:c>
      <x:c r="J110" s="22" t="n">
        <x:v>1</x:v>
      </x:c>
      <x:c r="K110" s="15" t="str"/>
    </x:row>
    <x:row r="111" ht="44" customHeight="1">
      <x:c r="A111" s="14" t="str">
        <x:v>B</x:v>
      </x:c>
      <x:c r="B111" s="14" t="str">
        <x:v>700</x:v>
      </x:c>
      <x:c r="C111" s="14" t="str">
        <x:v>1-3</x:v>
      </x:c>
      <x:c r="D111" s="14" t="str">
        <x:v>SAD-024</x:v>
      </x:c>
      <x:c r="E111" s="15" t="str">
        <x:v>SALPICADERA DELANTERA ROJO/ROSA LINEAS PLATA IT RC-150 16-19</x:v>
      </x:c>
      <x:c r="F111" s="21" t="n">
        <x:v>18</x:v>
      </x:c>
      <x:c r="G111" s="21" t="n">
        <x:v>18</x:v>
      </x:c>
      <x:c r="H111" s="21" t="n">
        <x:f>F111-G111</x:f>
        <x:v>0</x:v>
      </x:c>
      <x:c r="I111" s="25" t="str">
        <x:v>03</x:v>
      </x:c>
      <x:c r="J111" s="22" t="n">
        <x:v>7</x:v>
      </x:c>
      <x:c r="K111" s="15" t="str"/>
    </x:row>
    <x:row r="112" ht="44" customHeight="1">
      <x:c r="A112" s="14" t="str">
        <x:v>B</x:v>
      </x:c>
      <x:c r="B112" s="14" t="str">
        <x:v>700</x:v>
      </x:c>
      <x:c r="C112" s="14" t="str">
        <x:v>4-7</x:v>
      </x:c>
      <x:c r="D112" s="14" t="str">
        <x:v>SAL-056RO</x:v>
      </x:c>
      <x:c r="E112" s="15" t="str">
        <x:v>SALPICADERA TRASERA ROJA IT DT-125SP 17-19/IT FT-125 ROJA NUEVA 18-22/IT FT-125 ROJA 13-20/IT FORZA-125 05-12/IT DT-150 BASIC 18-20</x:v>
      </x:c>
      <x:c r="F112" s="21" t="n">
        <x:v>56</x:v>
      </x:c>
      <x:c r="G112" s="21" t="n">
        <x:v>56</x:v>
      </x:c>
      <x:c r="H112" s="21" t="n">
        <x:f>F112-G112</x:f>
        <x:v>0</x:v>
      </x:c>
      <x:c r="I112" s="25" t="str">
        <x:v>03</x:v>
      </x:c>
      <x:c r="J112" s="22" t="n">
        <x:v>7</x:v>
      </x:c>
      <x:c r="K112" s="15" t="str"/>
    </x:row>
    <x:row r="113" ht="44" customHeight="1">
      <x:c r="A113" s="14" t="str">
        <x:v>B</x:v>
      </x:c>
      <x:c r="B113" s="14" t="str">
        <x:v>700</x:v>
      </x:c>
      <x:c r="C113" s="14" t="str">
        <x:v>8</x:v>
      </x:c>
      <x:c r="D113" s="14" t="str">
        <x:v>ASI-058</x:v>
      </x:c>
      <x:c r="E113" s="15" t="str">
        <x:v>ASIENTO NEGRO IT BIT-150 22-23/IT BIT-150 NUEVA GENERACIÓN 24-26</x:v>
      </x:c>
      <x:c r="F113" s="21" t="n">
        <x:v>4</x:v>
      </x:c>
      <x:c r="G113" s="21" t="n">
        <x:v>4</x:v>
      </x:c>
      <x:c r="H113" s="21" t="n">
        <x:f>F113-G113</x:f>
        <x:v>0</x:v>
      </x:c>
      <x:c r="I113" s="25" t="str">
        <x:v>03</x:v>
      </x:c>
      <x:c r="J113" s="22" t="n">
        <x:v>7</x:v>
      </x:c>
      <x:c r="K113" s="15" t="str"/>
    </x:row>
    <x:row r="114" ht="44" customHeight="1">
      <x:c r="A114" s="14" t="str">
        <x:v>B</x:v>
      </x:c>
      <x:c r="B114" s="14" t="str">
        <x:v>700</x:v>
      </x:c>
      <x:c r="C114" s="14" t="str">
        <x:v>9-10</x:v>
      </x:c>
      <x:c r="D114" s="14" t="str">
        <x:v>ASI-001</x:v>
      </x:c>
      <x:c r="E114" s="15" t="str">
        <x:v>ASIENTO NEGRO DT-150 SPORT 17-18 / FORZA-150 09-13 / FT-150 14-16 / FT-150 G 16-18 / FT-150 G NEGRA 18-19</x:v>
      </x:c>
      <x:c r="F114" s="21" t="n">
        <x:v>12</x:v>
      </x:c>
      <x:c r="G114" s="21" t="n">
        <x:v>12</x:v>
      </x:c>
      <x:c r="H114" s="21" t="n">
        <x:f>F114-G114</x:f>
        <x:v>0</x:v>
      </x:c>
      <x:c r="I114" s="25" t="str">
        <x:v>03</x:v>
      </x:c>
      <x:c r="J114" s="22" t="n">
        <x:v>7</x:v>
      </x:c>
      <x:c r="K114" s="15" t="str"/>
    </x:row>
    <x:row r="115" ht="44" customHeight="1">
      <x:c r="A115" s="14" t="str">
        <x:v>B</x:v>
      </x:c>
      <x:c r="B115" s="14" t="str">
        <x:v>700</x:v>
      </x:c>
      <x:c r="C115" s="14" t="str">
        <x:v>11</x:v>
      </x:c>
      <x:c r="D115" s="14" t="str">
        <x:v>SAD-037RJ</x:v>
      </x:c>
      <x:c r="E115" s="15" t="str">
        <x:v>SALPICADERA DELANTERA ROJA FT-150G 16-17</x:v>
      </x:c>
      <x:c r="F115" s="21" t="n">
        <x:v>8</x:v>
      </x:c>
      <x:c r="G115" s="21" t="n">
        <x:v>8</x:v>
      </x:c>
      <x:c r="H115" s="21" t="n">
        <x:f>F115-G115</x:f>
        <x:v>0</x:v>
      </x:c>
      <x:c r="I115" s="25" t="str">
        <x:v>03</x:v>
      </x:c>
      <x:c r="J115" s="22" t="n">
        <x:v>7</x:v>
      </x:c>
      <x:c r="K115" s="15" t="str"/>
    </x:row>
    <x:row r="116" ht="44" customHeight="1">
      <x:c r="A116" s="14" t="str">
        <x:v>B</x:v>
      </x:c>
      <x:c r="B116" s="14" t="str">
        <x:v>700</x:v>
      </x:c>
      <x:c r="C116" s="14" t="str">
        <x:v>11</x:v>
      </x:c>
      <x:c r="D116" s="14" t="str">
        <x:v>SAD-041GR</x:v>
      </x:c>
      <x:c r="E116" s="15" t="str">
        <x:v>SALPICADERA DELANTERA PLATA MATE FT-150 GRAFITO 18-19</x:v>
      </x:c>
      <x:c r="F116" s="21" t="n">
        <x:v>1</x:v>
      </x:c>
      <x:c r="G116" s="21" t="n">
        <x:v>1</x:v>
      </x:c>
      <x:c r="H116" s="21" t="n">
        <x:f>F116-G116</x:f>
        <x:v>0</x:v>
      </x:c>
      <x:c r="I116" s="25" t="str">
        <x:v>03</x:v>
      </x:c>
      <x:c r="J116" s="22" t="n">
        <x:v>7</x:v>
      </x:c>
      <x:c r="K116" s="15" t="str"/>
    </x:row>
    <x:row r="117" ht="44" customHeight="1">
      <x:c r="A117" s="14" t="str">
        <x:v>B</x:v>
      </x:c>
      <x:c r="B117" s="14" t="str">
        <x:v>700</x:v>
      </x:c>
      <x:c r="C117" s="14" t="str">
        <x:v>11</x:v>
      </x:c>
      <x:c r="D117" s="14" t="str">
        <x:v>SAD-047NE</x:v>
      </x:c>
      <x:c r="E117" s="15" t="str">
        <x:v>SALPICADERA DELANTERA NEGRO / BRILLANTE YA FZ-16</x:v>
      </x:c>
      <x:c r="F117" s="21" t="n">
        <x:v>2</x:v>
      </x:c>
      <x:c r="G117" s="21" t="n">
        <x:v>2</x:v>
      </x:c>
      <x:c r="H117" s="21" t="n">
        <x:f>F117-G117</x:f>
        <x:v>0</x:v>
      </x:c>
      <x:c r="I117" s="25" t="str">
        <x:v>03</x:v>
      </x:c>
      <x:c r="J117" s="22" t="n">
        <x:v>7</x:v>
      </x:c>
      <x:c r="K117" s="15" t="str"/>
    </x:row>
    <x:row r="118" ht="44" customHeight="1">
      <x:c r="A118" s="14" t="str">
        <x:v>B</x:v>
      </x:c>
      <x:c r="B118" s="14" t="str">
        <x:v>700</x:v>
      </x:c>
      <x:c r="C118" s="14" t="str">
        <x:v>11</x:v>
      </x:c>
      <x:c r="D118" s="14" t="str">
        <x:v>SAD-057NE</x:v>
      </x:c>
      <x:c r="E118" s="15" t="str">
        <x:v>SALPICADERA DELANTERA NEGRO AT-110RT / AT-110RT C/LED</x:v>
      </x:c>
      <x:c r="F118" s="21" t="n">
        <x:v>6</x:v>
      </x:c>
      <x:c r="G118" s="21" t="n">
        <x:v>6</x:v>
      </x:c>
      <x:c r="H118" s="21" t="n">
        <x:f>F118-G118</x:f>
        <x:v>0</x:v>
      </x:c>
      <x:c r="I118" s="25" t="str">
        <x:v>03</x:v>
      </x:c>
      <x:c r="J118" s="22" t="n">
        <x:v>7</x:v>
      </x:c>
      <x:c r="K118" s="15" t="str"/>
    </x:row>
    <x:row r="119" ht="44" customHeight="1">
      <x:c r="A119" s="14" t="str">
        <x:v>B</x:v>
      </x:c>
      <x:c r="B119" s="14" t="str">
        <x:v>700</x:v>
      </x:c>
      <x:c r="C119" s="14" t="str">
        <x:v>11</x:v>
      </x:c>
      <x:c r="D119" s="14" t="str">
        <x:v>SAD-111</x:v>
      </x:c>
      <x:c r="E119" s="15" t="str">
        <x:v>SALPICADERA DELANTERA AMARILLA/NEGRO VN RYDER 150 22</x:v>
      </x:c>
      <x:c r="F119" s="21" t="n">
        <x:v>5</x:v>
      </x:c>
      <x:c r="G119" s="21" t="n">
        <x:v>5</x:v>
      </x:c>
      <x:c r="H119" s="21" t="n">
        <x:f>F119-G119</x:f>
        <x:v>0</x:v>
      </x:c>
      <x:c r="I119" s="25" t="str">
        <x:v>03</x:v>
      </x:c>
      <x:c r="J119" s="22" t="n">
        <x:v>7</x:v>
      </x:c>
      <x:c r="K119" s="15" t="str"/>
    </x:row>
    <x:row r="120" ht="44" customHeight="1">
      <x:c r="A120" s="14" t="str">
        <x:v>B</x:v>
      </x:c>
      <x:c r="B120" s="14" t="str">
        <x:v>700</x:v>
      </x:c>
      <x:c r="C120" s="14" t="str">
        <x:v>11</x:v>
      </x:c>
      <x:c r="D120" s="14" t="str">
        <x:v>SAD-125</x:v>
      </x:c>
      <x:c r="E120" s="15" t="str">
        <x:v>SALPICADERA DELANTERA GRIS IT AT-125 23-25</x:v>
      </x:c>
      <x:c r="F120" s="21" t="n">
        <x:v>3</x:v>
      </x:c>
      <x:c r="G120" s="21" t="n">
        <x:v>3</x:v>
      </x:c>
      <x:c r="H120" s="21" t="n">
        <x:f>F120-G120</x:f>
        <x:v>0</x:v>
      </x:c>
      <x:c r="I120" s="25" t="str">
        <x:v>03</x:v>
      </x:c>
      <x:c r="J120" s="22" t="n">
        <x:v>7</x:v>
      </x:c>
      <x:c r="K120" s="15" t="str"/>
    </x:row>
    <x:row r="121" ht="44" customHeight="1">
      <x:c r="A121" s="14" t="str">
        <x:v>B</x:v>
      </x:c>
      <x:c r="B121" s="14" t="str">
        <x:v>700</x:v>
      </x:c>
      <x:c r="C121" s="14" t="str">
        <x:v>11</x:v>
      </x:c>
      <x:c r="D121" s="14" t="str">
        <x:v>SAD-141</x:v>
      </x:c>
      <x:c r="E121" s="15" t="str">
        <x:v>SALPICADERA DELANTERA NEGRO BRILLANTE IT TC-300 24-25</x:v>
      </x:c>
      <x:c r="F121" s="21" t="n">
        <x:v>1</x:v>
      </x:c>
      <x:c r="G121" s="21" t="n">
        <x:v>1</x:v>
      </x:c>
      <x:c r="H121" s="21" t="n">
        <x:f>F121-G121</x:f>
        <x:v>0</x:v>
      </x:c>
      <x:c r="I121" s="25" t="str">
        <x:v>03</x:v>
      </x:c>
      <x:c r="J121" s="22" t="n">
        <x:v>7</x:v>
      </x:c>
      <x:c r="K121" s="15" t="str"/>
    </x:row>
    <x:row r="122" ht="44" customHeight="1">
      <x:c r="A122" s="14" t="str">
        <x:v>B</x:v>
      </x:c>
      <x:c r="B122" s="14" t="str">
        <x:v>700</x:v>
      </x:c>
      <x:c r="C122" s="14" t="str">
        <x:v>12</x:v>
      </x:c>
      <x:c r="D122" s="14" t="str">
        <x:v>SAD-056BL</x:v>
      </x:c>
      <x:c r="E122" s="15" t="str">
        <x:v>SALPICADERA DELANTERA BLANCA DT-125CL 17-21/DT-125DEL 17-22/DT-125SP 17-19/DT-150CL 17-20/DT-150DEL 17-22/FT-125DEL 14-16/FT150DE</x:v>
      </x:c>
      <x:c r="F122" s="21" t="n">
        <x:v>13</x:v>
      </x:c>
      <x:c r="G122" s="21" t="n">
        <x:v>13</x:v>
      </x:c>
      <x:c r="H122" s="21" t="n">
        <x:f>F122-G122</x:f>
        <x:v>0</x:v>
      </x:c>
      <x:c r="I122" s="25" t="str">
        <x:v>03</x:v>
      </x:c>
      <x:c r="J122" s="22" t="n">
        <x:v>7</x:v>
      </x:c>
      <x:c r="K122" s="15" t="str"/>
    </x:row>
    <x:row r="123" ht="44" customHeight="1">
      <x:c r="A123" s="14" t="str">
        <x:v>B</x:v>
      </x:c>
      <x:c r="B123" s="14" t="str">
        <x:v>700</x:v>
      </x:c>
      <x:c r="C123" s="14" t="str">
        <x:v>12</x:v>
      </x:c>
      <x:c r="D123" s="14" t="str">
        <x:v>SAD-081GN</x:v>
      </x:c>
      <x:c r="E123" s="15" t="str">
        <x:v>SALPICADERA DELANTERA GRIS NARANJA IT DM-250 22-23</x:v>
      </x:c>
      <x:c r="F123" s="21" t="n">
        <x:v>3</x:v>
      </x:c>
      <x:c r="G123" s="21" t="n">
        <x:v>3</x:v>
      </x:c>
      <x:c r="H123" s="21" t="n">
        <x:f>F123-G123</x:f>
        <x:v>0</x:v>
      </x:c>
      <x:c r="I123" s="25" t="str">
        <x:v>03</x:v>
      </x:c>
      <x:c r="J123" s="22" t="n">
        <x:v>7</x:v>
      </x:c>
      <x:c r="K123" s="15" t="str"/>
    </x:row>
    <x:row r="124" ht="44" customHeight="1">
      <x:c r="A124" s="14" t="str">
        <x:v>B</x:v>
      </x:c>
      <x:c r="B124" s="14" t="str">
        <x:v>700</x:v>
      </x:c>
      <x:c r="C124" s="14" t="str">
        <x:v>13</x:v>
      </x:c>
      <x:c r="D124" s="14" t="str">
        <x:v>ASI-061</x:v>
      </x:c>
      <x:c r="E124" s="15" t="str">
        <x:v>ASIENTO NEGRO/ROJO VN AXUS-150 21-22/VN AXUS-170 23-24</x:v>
      </x:c>
      <x:c r="F124" s="21" t="n">
        <x:v>1</x:v>
      </x:c>
      <x:c r="G124" s="21" t="n">
        <x:v>1</x:v>
      </x:c>
      <x:c r="H124" s="21" t="n">
        <x:f>F124-G124</x:f>
        <x:v>0</x:v>
      </x:c>
      <x:c r="I124" s="25" t="str">
        <x:v>03</x:v>
      </x:c>
      <x:c r="J124" s="22" t="n">
        <x:v>7</x:v>
      </x:c>
      <x:c r="K124" s="15" t="str"/>
    </x:row>
    <x:row r="125" ht="44" customHeight="1">
      <x:c r="A125" s="14" t="str">
        <x:v>B</x:v>
      </x:c>
      <x:c r="B125" s="14" t="str">
        <x:v>700</x:v>
      </x:c>
      <x:c r="C125" s="14" t="str">
        <x:v>13</x:v>
      </x:c>
      <x:c r="D125" s="14" t="str">
        <x:v>ASI-067</x:v>
      </x:c>
      <x:c r="E125" s="15" t="str">
        <x:v>ASIENTO CAFE VN STREETROD-170 23-24</x:v>
      </x:c>
      <x:c r="F125" s="21" t="n">
        <x:v>2</x:v>
      </x:c>
      <x:c r="G125" s="21" t="n">
        <x:v>2</x:v>
      </x:c>
      <x:c r="H125" s="21" t="n">
        <x:f>F125-G125</x:f>
        <x:v>0</x:v>
      </x:c>
      <x:c r="I125" s="25" t="str">
        <x:v>03</x:v>
      </x:c>
      <x:c r="J125" s="22" t="n">
        <x:v>7</x:v>
      </x:c>
      <x:c r="K125" s="15" t="str"/>
    </x:row>
    <x:row r="126" ht="44" customHeight="1">
      <x:c r="A126" s="14" t="str">
        <x:v>B</x:v>
      </x:c>
      <x:c r="B126" s="14" t="str">
        <x:v>700</x:v>
      </x:c>
      <x:c r="C126" s="14" t="str">
        <x:v>14-25</x:v>
      </x:c>
      <x:c r="D126" s="14" t="str">
        <x:v>ASI-024</x:v>
      </x:c>
      <x:c r="E126" s="15" t="str">
        <x:v>ASIENTO NEGRO 150-Z / 170-Z</x:v>
      </x:c>
      <x:c r="F126" s="21" t="n">
        <x:v>72</x:v>
      </x:c>
      <x:c r="G126" s="21" t="n">
        <x:v>72</x:v>
      </x:c>
      <x:c r="H126" s="21" t="n">
        <x:f>F126-G126</x:f>
        <x:v>0</x:v>
      </x:c>
      <x:c r="I126" s="25" t="str">
        <x:v>03</x:v>
      </x:c>
      <x:c r="J126" s="22" t="n">
        <x:v>7</x:v>
      </x:c>
      <x:c r="K126" s="15" t="str"/>
    </x:row>
    <x:row r="127" ht="44" customHeight="1">
      <x:c r="A127" s="14" t="str">
        <x:v>B</x:v>
      </x:c>
      <x:c r="B127" s="14" t="str">
        <x:v>700</x:v>
      </x:c>
      <x:c r="C127" s="14" t="str">
        <x:v>26-47</x:v>
      </x:c>
      <x:c r="D127" s="14" t="str">
        <x:v>ASI-010</x:v>
      </x:c>
      <x:c r="E127" s="15" t="str">
        <x:v>ASIENTO NEGRO FORZA-125 08-12/IT FT-125PLATA 17/IT FT-125ROJA 13-20/IT FT-125 22-26/IT DT-150 20/IT DT-150BASIC 18-20/IT FT-125 ROJA NUEVA 18-22</x:v>
      </x:c>
      <x:c r="F127" s="21" t="n">
        <x:v>176</x:v>
      </x:c>
      <x:c r="G127" s="21" t="n">
        <x:v>176</x:v>
      </x:c>
      <x:c r="H127" s="21" t="n">
        <x:f>F127-G127</x:f>
        <x:v>0</x:v>
      </x:c>
      <x:c r="I127" s="25" t="str">
        <x:v>03</x:v>
      </x:c>
      <x:c r="J127" s="22" t="n">
        <x:v>7</x:v>
      </x:c>
      <x:c r="K127" s="15" t="str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</x:row>
  </x:sheetData>
  <x:mergeCells>
    <x:mergeCell ref="A1:K1"/>
    <x:mergeCell ref="A3:K3"/>
    <x:mergeCell ref="A4:K4"/>
  </x:mergeCells>
  <x:pageMargins left="0.7" right="0.7" top="0.75" bottom="0.75" header="0.3" footer="0.3"/>
  <x:tableParts count="1">
    <x:tablePart xmlns:r="http://schemas.openxmlformats.org/officeDocument/2006/relationships" r:id="R9ae9252ca0dd4d3e"/>
  </x:tableParts>
</x:worksheet>
</file>