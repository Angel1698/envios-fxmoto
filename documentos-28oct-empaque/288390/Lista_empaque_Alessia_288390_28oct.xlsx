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1e84331c8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cfe6a78f086418e"/>
    <x:sheet xmlns:r="http://schemas.openxmlformats.org/officeDocument/2006/relationships" name="Lista por caja" sheetId="2" r:id="R9f6cbdbc4383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1"/>
      <x:name val="Arial"/>
    </x:font>
    <x:font>
      <x:b/>
      <x:sz val="19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b/>
      <x:sz val="1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dc1676db74ebc" /><Relationship Type="http://schemas.openxmlformats.org/officeDocument/2006/relationships/theme" Target="/xl/theme/theme1.xml" Id="R8394f606ac4f478a" /><Relationship Type="http://schemas.openxmlformats.org/officeDocument/2006/relationships/sharedStrings" Target="/xl/sharedStrings.xml" Id="R4828a5174fe24028" /><Relationship Type="http://schemas.openxmlformats.org/officeDocument/2006/relationships/worksheet" Target="/xl/worksheets/sheet1.xml" Id="R4cfe6a78f086418e" /><Relationship Type="http://schemas.openxmlformats.org/officeDocument/2006/relationships/worksheet" Target="/xl/worksheets/sheet2.xml" Id="R9f6cbdbc43834e66" /></Relationships>
</file>

<file path=xl/tables/table1.xml><?xml version="1.0" encoding="utf-8"?>
<x:table xmlns:x="http://schemas.openxmlformats.org/spreadsheetml/2006/main" id="1" name="ListaEmpaque" displayName="ListaEmpaque" ref="A6:K72" headerRowCount="1" totalsRowCount="0" totalsRowShown="0">
  <x:tableColumns count="11">
    <x:tableColumn id="1" name="Grupo"/>
    <x:tableColumn id="2" name="Rack 1"/>
    <x:tableColumn id="3" name="Caja(s)"/>
    <x:tableColumn id="4" name="Código"/>
    <x:tableColumn id="5" name="Descripción"/>
    <x:tableColumn id="6" name="Lista"/>
    <x:tableColumn id="7" name="CFDI"/>
    <x:tableColumn id="8" name="Diferencia"/>
    <x:tableColumn id="9" name="Foto"/>
    <x:tableColumn id="10" name="Hoja"/>
    <x:tableColumn id="11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a3b6c14450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5" hidden="0" customWidth="1"/>
    <x:col min="3" max="3" width="12" hidden="0" customWidth="1"/>
    <x:col min="4" max="4" width="37" hidden="0" customWidth="1"/>
    <x:col min="5" max="5" width="15" hidden="0" customWidth="1"/>
    <x:col min="6" max="6" width="12" hidden="0" customWidth="1"/>
  </x:cols>
  <x:sheetData>
    <x:row r="1" ht="24" customHeight="1">
      <x:c r="A1" s="2" t="str">
        <x:v>ALESSIA · Lista de empaque 288390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4" t="str">
        <x:v>Bodega</x:v>
      </x:c>
      <x:c r="B3" s="1" t="str">
        <x:v>EDOMEX</x:v>
      </x:c>
      <x:c r="C3" s="1"/>
      <x:c r="D3" s="4" t="str">
        <x:v>Códigos</x:v>
      </x:c>
      <x:c r="E3" s="1" t="n">
        <x:v>66</x:v>
      </x:c>
      <x:c r="F3" s="1"/>
      <x:c r="G3" s="1"/>
      <x:c r="H3" s="1"/>
      <x:c r="I3" s="1"/>
      <x:c r="J3" s="1"/>
      <x:c r="K3" s="1"/>
    </x:row>
    <x:row r="4" ht="24" customHeight="1">
      <x:c r="A4" s="4" t="str">
        <x:v>Pedido FXMoto</x:v>
      </x:c>
      <x:c r="B4" s="1" t="str">
        <x:v>55</x:v>
      </x:c>
      <x:c r="C4" s="1"/>
      <x:c r="D4" s="4" t="str">
        <x:v>Unidades de lista</x:v>
      </x:c>
      <x:c r="E4" s="7" t="n">
        <x:f>SUM('Lista por caja'!F7:F72)</x:f>
        <x:v>915</x:v>
      </x:c>
      <x:c r="F4" s="1"/>
      <x:c r="G4" s="1"/>
      <x:c r="H4" s="1"/>
      <x:c r="I4" s="1"/>
      <x:c r="J4" s="1"/>
      <x:c r="K4" s="1"/>
    </x:row>
    <x:row r="5" ht="24" customHeight="1">
      <x:c r="A5" s="4" t="str">
        <x:v>Pedido / proforma</x:v>
      </x:c>
      <x:c r="B5" s="1" t="str">
        <x:v>255210</x:v>
      </x:c>
      <x:c r="C5" s="1"/>
      <x:c r="D5" s="4" t="str">
        <x:v>Unidades de factura</x:v>
      </x:c>
      <x:c r="E5" s="7" t="n">
        <x:f>SUM('Lista por caja'!G7:G72)</x:f>
        <x:v>915</x:v>
      </x:c>
      <x:c r="F5" s="1"/>
      <x:c r="G5" s="1"/>
      <x:c r="H5" s="1"/>
      <x:c r="I5" s="1"/>
      <x:c r="J5" s="1"/>
      <x:c r="K5" s="1"/>
    </x:row>
    <x:row r="6" ht="24" customHeight="1">
      <x:c r="A6" s="4" t="str">
        <x:v>Picking</x:v>
      </x:c>
      <x:c r="B6" s="1" t="str">
        <x:v>CON-184484</x:v>
      </x:c>
      <x:c r="C6" s="1"/>
      <x:c r="D6" s="4" t="str">
        <x:v>Diferencia</x:v>
      </x:c>
      <x:c r="E6" s="7" t="n">
        <x:f>E4-E5</x:f>
        <x:v>0</x:v>
      </x:c>
      <x:c r="F6" s="1"/>
      <x:c r="G6" s="1"/>
      <x:c r="H6" s="1"/>
      <x:c r="I6" s="1"/>
      <x:c r="J6" s="1"/>
      <x:c r="K6" s="1"/>
    </x:row>
    <x:row r="7" ht="24" customHeight="1">
      <x:c r="A7" s="4" t="str">
        <x:v>Factura</x:v>
      </x:c>
      <x:c r="B7" s="1" t="str">
        <x:v>288390</x:v>
      </x:c>
      <x:c r="C7" s="1"/>
      <x:c r="D7" s="4" t="str">
        <x:v>Bultos documentados</x:v>
      </x:c>
      <x:c r="E7" s="7" t="n">
        <x:v>76</x:v>
      </x:c>
      <x:c r="F7" s="1"/>
      <x:c r="G7" s="1"/>
      <x:c r="H7" s="1"/>
      <x:c r="I7" s="1"/>
      <x:c r="J7" s="1"/>
      <x:c r="K7" s="1"/>
    </x:row>
    <x:row r="8" ht="24" customHeight="1">
      <x:c r="A8" s="4" t="str">
        <x:v>Fotografías recibidas</x:v>
      </x:c>
      <x:c r="B8" s="1" t="str">
        <x:v>28-oct-2026 · 10:53</x:v>
      </x:c>
      <x:c r="C8" s="1"/>
      <x:c r="D8" s="4" t="str">
        <x:v>Ubicaciones capturadas</x:v>
      </x:c>
      <x:c r="E8" s="7" t="n">
        <x:v>61</x:v>
      </x:c>
      <x:c r="F8" s="1"/>
      <x:c r="G8" s="1"/>
      <x:c r="H8" s="1"/>
      <x:c r="I8" s="1"/>
      <x:c r="J8" s="1"/>
      <x:c r="K8" s="1"/>
    </x:row>
    <x:row r="9" ht="40" customHeight="1">
      <x:c r="A9" s="4" t="str">
        <x:v>Recepción</x:v>
      </x:c>
      <x:c r="B9" s="3" t="str">
        <x:v>Recibida 27-oct-2026, 13:21, Jesica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6" t="str">
        <x:v>Grupo</x:v>
      </x:c>
      <x:c r="B12" s="6" t="str">
        <x:v>Numeración</x:v>
      </x:c>
      <x:c r="C12" s="6" t="str">
        <x:v>Bultos</x:v>
      </x:c>
      <x:c r="D12" s="6" t="str">
        <x:v>Rack 1 / almacenes</x:v>
      </x:c>
      <x:c r="E12" s="1"/>
      <x:c r="F12" s="1"/>
      <x:c r="G12" s="1"/>
      <x:c r="H12" s="1"/>
      <x:c r="I12" s="1"/>
      <x:c r="J12" s="1"/>
      <x:c r="K12" s="1"/>
    </x:row>
    <x:row r="13" ht="24" customHeight="1">
      <x:c r="A13" s="1" t="str">
        <x:v>A</x:v>
      </x:c>
      <x:c r="B13" s="1" t="str">
        <x:v>1–76</x:v>
      </x:c>
      <x:c r="C13" s="1" t="n">
        <x:v>76</x:v>
      </x:c>
      <x:c r="D13" s="1" t="str">
        <x:v>100, 200, 300, 400, 500, 600, 700</x:v>
      </x:c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 t="str">
        <x:v>Resumen del proveedor: 75 + 1 = 76 bultos. Caja 76 pendiente de vincular a códigos.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3" t="str">
        <x:v>Ocho hojas presentes. 66 códigos y 915 unidades coinciden con CFDI; 61 códigos tienen ubicación confirmada.</x:v>
      </x:c>
      <x:c r="B18" s="3"/>
      <x:c r="C18" s="3"/>
      <x:c r="D18" s="3"/>
      <x:c r="E18" s="3"/>
      <x:c r="F18" s="3"/>
      <x:c r="G18" s="1"/>
      <x:c r="H18" s="1"/>
      <x:c r="I18" s="1"/>
      <x:c r="J18" s="1"/>
      <x:c r="K18" s="1"/>
    </x:row>
    <x:row r="19" ht="24" customHeight="1">
      <x:c r="A19" s="3"/>
      <x:c r="B19" s="3"/>
      <x:c r="C19" s="3"/>
      <x:c r="D19" s="3"/>
      <x:c r="E19" s="3"/>
      <x:c r="F19" s="3"/>
      <x:c r="G19" s="1"/>
      <x:c r="H19" s="1"/>
      <x:c r="I19" s="1"/>
      <x:c r="J19" s="1"/>
      <x:c r="K19" s="1"/>
    </x:row>
    <x:row r="20" ht="24" customHeight="1">
      <x:c r="A20" s="3" t="str">
        <x:v>Caja por confirmar: FAR-152, HOR-004, CUV-016, PAR-078 y SAL-X006 (34 unidades documentales). Se conservan cantidades y reparto.</x:v>
      </x:c>
      <x:c r="B20" s="3"/>
      <x:c r="C20" s="3"/>
      <x:c r="D20" s="3"/>
      <x:c r="E20" s="3"/>
      <x:c r="F20" s="3"/>
      <x:c r="G20" s="1"/>
      <x:c r="H20" s="1"/>
      <x:c r="I20" s="1"/>
      <x:c r="J20" s="1"/>
      <x:c r="K20" s="1"/>
    </x:row>
    <x:row r="21" ht="24" customHeight="1">
      <x:c r="A21" s="3"/>
      <x:c r="B21" s="3"/>
      <x:c r="C21" s="3"/>
      <x:c r="D21" s="3"/>
      <x:c r="E21" s="3"/>
      <x:c r="F21" s="3"/>
      <x:c r="G21" s="1"/>
      <x:c r="H21" s="1"/>
      <x:c r="I21" s="1"/>
      <x:c r="J21" s="1"/>
      <x:c r="K21" s="1"/>
    </x:row>
    <x:row r="22" ht="24" customHeight="1">
      <x:c r="A22" s="3" t="str">
        <x:v>Resumen picking $280,140.99; CFDI $280,141.04. Diferencia $0.05. Se conserva el importe oficial del CFDI.</x:v>
      </x:c>
      <x:c r="B22" s="3"/>
      <x:c r="C22" s="3"/>
      <x:c r="D22" s="3"/>
      <x:c r="E22" s="3"/>
      <x:c r="F22" s="3"/>
      <x:c r="G22" s="1"/>
      <x:c r="H22" s="1"/>
      <x:c r="I22" s="1"/>
      <x:c r="J22" s="1"/>
      <x:c r="K22" s="1"/>
    </x:row>
    <x:row r="23" ht="24" customHeight="1">
      <x:c r="A23" s="3"/>
      <x:c r="B23" s="3"/>
      <x:c r="C23" s="3"/>
      <x:c r="D23" s="3"/>
      <x:c r="E23" s="3"/>
      <x:c r="F23" s="3"/>
      <x:c r="G23" s="1"/>
      <x:c r="H23" s="1"/>
      <x:c r="I23" s="1"/>
      <x:c r="J23" s="1"/>
      <x:c r="K23" s="1"/>
    </x:row>
    <x:row r="24" ht="24" customHeight="1">
      <x:c r="A24" s="3" t="str">
        <x:v>La recepción registrada se conserva; esta lista no modifica cantidades, etiquetas ni avances de envíos.</x:v>
      </x:c>
      <x:c r="B24" s="3"/>
      <x:c r="C24" s="3"/>
      <x:c r="D24" s="3"/>
      <x:c r="E24" s="3"/>
      <x:c r="F24" s="3"/>
      <x:c r="G24" s="1"/>
      <x:c r="H24" s="1"/>
      <x:c r="I24" s="1"/>
      <x:c r="J24" s="1"/>
      <x:c r="K24" s="1"/>
    </x:row>
    <x:row r="25" ht="24" customHeight="1">
      <x:c r="A25" s="3"/>
      <x:c r="B25" s="3"/>
      <x:c r="C25" s="3"/>
      <x:c r="D25" s="3"/>
      <x:c r="E25" s="3"/>
      <x:c r="F25" s="3"/>
      <x:c r="G25" s="1"/>
      <x:c r="H25" s="1"/>
      <x:c r="I25" s="1"/>
      <x:c r="J25" s="1"/>
      <x:c r="K25" s="1"/>
    </x:row>
    <x:row r="26" ht="24" customHeight="1">
      <x:c r="A26" s="3" t="str">
        <x:v>Fuentes: WhatsApp PEDIDOS Fxmoto Alessia, 28-oct 10:53; ocho fotos del picking CON-184484. Cotejo contra CFDI 288390 y su registro vigente.</x:v>
      </x:c>
      <x:c r="B26" s="3"/>
      <x:c r="C26" s="3"/>
      <x:c r="D26" s="3"/>
      <x:c r="E26" s="3"/>
      <x:c r="F26" s="3"/>
      <x:c r="G26" s="1"/>
      <x:c r="H26" s="1"/>
      <x:c r="I26" s="1"/>
      <x:c r="J26" s="1"/>
      <x:c r="K26" s="1"/>
    </x:row>
    <x:row r="27" ht="24" customHeight="1">
      <x:c r="A27" s="3"/>
      <x:c r="B27" s="3"/>
      <x:c r="C27" s="3"/>
      <x:c r="D27" s="3"/>
      <x:c r="E27" s="3"/>
      <x:c r="F27" s="3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 t="str">
        <x:v>Originales y lista: https://envios.motofix.com.mx/empaque-alessia-288390-28oct-67be9943.html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F1"/>
    <x:mergeCell ref="A16:F16"/>
    <x:mergeCell ref="A18:F19"/>
    <x:mergeCell ref="A20:F21"/>
    <x:mergeCell ref="A22:F23"/>
    <x:mergeCell ref="A24:F25"/>
    <x:mergeCell ref="A26:F27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22" hidden="0" customWidth="1"/>
    <x:col min="5" max="5" width="56" hidden="0" customWidth="1"/>
    <x:col min="6" max="6" width="12" hidden="0" customWidth="1"/>
    <x:col min="7" max="7" width="12" hidden="0" customWidth="1"/>
    <x:col min="8" max="8" width="13" hidden="0" customWidth="1"/>
    <x:col min="9" max="9" width="8" hidden="0" customWidth="1"/>
    <x:col min="10" max="10" width="8" hidden="0" customWidth="1"/>
    <x:col min="11" max="11" width="70" hidden="0" customWidth="1"/>
  </x:cols>
  <x:sheetData>
    <x:row r="1" ht="32" customHeight="1">
      <x:c r="A1" s="8" t="str">
        <x:v>Factura 288390 · Pedido 55 / 255210 · CON-184484 · EDOMEX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Una secuencia global 1–76; Rack 1 por código. Las cantidades son por código; no se infiere reparto por caja.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 t="str">
        <x:v>Fotos originales: documentos-28oct-empaque/288390/foto_NN.jpg en la página. Número de foto y hoja en columnas I y J.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13" t="str">
        <x:v>Grupo</x:v>
      </x:c>
      <x:c r="B6" s="13" t="str">
        <x:v>Rack 1</x:v>
      </x:c>
      <x:c r="C6" s="13" t="str">
        <x:v>Caja(s)</x:v>
      </x:c>
      <x:c r="D6" s="13" t="str">
        <x:v>Código</x:v>
      </x:c>
      <x:c r="E6" s="13" t="str">
        <x:v>Descripción</x:v>
      </x:c>
      <x:c r="F6" s="20" t="str">
        <x:v>Lista</x:v>
      </x:c>
      <x:c r="G6" s="20" t="str">
        <x:v>CFDI</x:v>
      </x:c>
      <x:c r="H6" s="20" t="str">
        <x:v>Diferencia</x:v>
      </x:c>
      <x:c r="I6" s="20" t="str">
        <x:v>Foto</x:v>
      </x:c>
      <x:c r="J6" s="20" t="str">
        <x:v>Hoja</x:v>
      </x:c>
      <x:c r="K6" s="13" t="str">
        <x:v>Observación</x:v>
      </x:c>
    </x:row>
    <x:row r="7" ht="44" customHeight="1">
      <x:c r="A7" s="14" t="str">
        <x:v>A</x:v>
      </x:c>
      <x:c r="B7" s="14" t="str">
        <x:v>400</x:v>
      </x:c>
      <x:c r="C7" s="14" t="str">
        <x:v>1</x:v>
      </x:c>
      <x:c r="D7" s="14" t="str">
        <x:v>CLC-007</x:v>
      </x:c>
      <x:c r="E7" s="15" t="str">
        <x:v>CABLE DE CLUTCH UNIVERSAL MOTOS-CHINAS 2mts</x:v>
      </x:c>
      <x:c r="F7" s="21" t="n">
        <x:v>2</x:v>
      </x:c>
      <x:c r="G7" s="21" t="n">
        <x:v>2</x:v>
      </x:c>
      <x:c r="H7" s="21" t="n">
        <x:f>F7-G7</x:f>
        <x:v>0</x:v>
      </x:c>
      <x:c r="I7" s="25" t="str">
        <x:v>06</x:v>
      </x:c>
      <x:c r="J7" s="22" t="n">
        <x:v>4</x:v>
      </x:c>
      <x:c r="K7" s="15" t="str"/>
    </x:row>
    <x:row r="8" ht="44" customHeight="1">
      <x:c r="A8" s="14" t="str">
        <x:v>A</x:v>
      </x:c>
      <x:c r="B8" s="14" t="str">
        <x:v>400</x:v>
      </x:c>
      <x:c r="C8" s="14" t="str">
        <x:v>1</x:v>
      </x:c>
      <x:c r="D8" s="14" t="str">
        <x:v>EDI-002</x:v>
      </x:c>
      <x:c r="E8" s="15" t="str">
        <x:v>EJE DE DIRECCION YUGO FORZA 150 06-08 / FT-150G 16-17</x:v>
      </x:c>
      <x:c r="F8" s="21" t="n">
        <x:v>2</x:v>
      </x:c>
      <x:c r="G8" s="21" t="n">
        <x:v>2</x:v>
      </x:c>
      <x:c r="H8" s="21" t="n">
        <x:f>F8-G8</x:f>
        <x:v>0</x:v>
      </x:c>
      <x:c r="I8" s="25" t="str">
        <x:v>06</x:v>
      </x:c>
      <x:c r="J8" s="22" t="n">
        <x:v>4</x:v>
      </x:c>
      <x:c r="K8" s="15" t="str"/>
    </x:row>
    <x:row r="9" ht="44" customHeight="1">
      <x:c r="A9" s="14" t="str">
        <x:v>A</x:v>
      </x:c>
      <x:c r="B9" s="14" t="str">
        <x:v>400</x:v>
      </x:c>
      <x:c r="C9" s="14" t="str">
        <x:v>1</x:v>
      </x:c>
      <x:c r="D9" s="14" t="str">
        <x:v>EDI-010</x:v>
      </x:c>
      <x:c r="E9" s="15" t="str">
        <x:v>EJE DE DIRECCION YUGO DT-200 SPORT 17 / FT-180 13-17 / FT-200 14-15 / FT-200 AMARILLA 15/ FT-250 15-16 / FT-250 TS 16-17</x:v>
      </x:c>
      <x:c r="F9" s="21" t="n">
        <x:v>3</x:v>
      </x:c>
      <x:c r="G9" s="21" t="n">
        <x:v>3</x:v>
      </x:c>
      <x:c r="H9" s="21" t="n">
        <x:f>F9-G9</x:f>
        <x:v>0</x:v>
      </x:c>
      <x:c r="I9" s="25" t="str">
        <x:v>06</x:v>
      </x:c>
      <x:c r="J9" s="22" t="n">
        <x:v>4</x:v>
      </x:c>
      <x:c r="K9" s="15" t="str"/>
    </x:row>
    <x:row r="10" ht="44" customHeight="1">
      <x:c r="A10" s="14" t="str">
        <x:v>A</x:v>
      </x:c>
      <x:c r="B10" s="14" t="str">
        <x:v>400</x:v>
      </x:c>
      <x:c r="C10" s="14" t="str">
        <x:v>1</x:v>
      </x:c>
      <x:c r="D10" s="14" t="str">
        <x:v>PAC-A017</x:v>
      </x:c>
      <x:c r="E10" s="15" t="str">
        <x:v>PARADOR CENTRAL IT FT-250GTS GPS</x:v>
      </x:c>
      <x:c r="F10" s="21" t="n">
        <x:v>2</x:v>
      </x:c>
      <x:c r="G10" s="21" t="n">
        <x:v>2</x:v>
      </x:c>
      <x:c r="H10" s="21" t="n">
        <x:f>F10-G10</x:f>
        <x:v>0</x:v>
      </x:c>
      <x:c r="I10" s="25" t="str">
        <x:v>06</x:v>
      </x:c>
      <x:c r="J10" s="22" t="n">
        <x:v>4</x:v>
      </x:c>
      <x:c r="K10" s="15" t="str"/>
    </x:row>
    <x:row r="11" ht="44" customHeight="1">
      <x:c r="A11" s="14" t="str">
        <x:v>A</x:v>
      </x:c>
      <x:c r="B11" s="14" t="str">
        <x:v>400</x:v>
      </x:c>
      <x:c r="C11" s="14" t="str">
        <x:v>1</x:v>
      </x:c>
      <x:c r="D11" s="14" t="str">
        <x:v>POP-055</x:v>
      </x:c>
      <x:c r="E11" s="15" t="str">
        <x:v>POSAPIES TRASEROS IT 125-FL 19-23/IT 125-Z 16-25/IT 125-FL GPS 22-25/IT 125-FL PAR 19-20</x:v>
      </x:c>
      <x:c r="F11" s="21" t="n">
        <x:v>5</x:v>
      </x:c>
      <x:c r="G11" s="21" t="n">
        <x:v>5</x:v>
      </x:c>
      <x:c r="H11" s="21" t="n">
        <x:f>F11-G11</x:f>
        <x:v>0</x:v>
      </x:c>
      <x:c r="I11" s="25" t="str">
        <x:v>06</x:v>
      </x:c>
      <x:c r="J11" s="22" t="n">
        <x:v>4</x:v>
      </x:c>
      <x:c r="K11" s="15" t="str"/>
    </x:row>
    <x:row r="12" ht="44" customHeight="1">
      <x:c r="A12" s="14" t="str">
        <x:v>A</x:v>
      </x:c>
      <x:c r="B12" s="14" t="str">
        <x:v>400</x:v>
      </x:c>
      <x:c r="C12" s="14" t="str">
        <x:v>1</x:v>
      </x:c>
      <x:c r="D12" s="14" t="str">
        <x:v>SOP-006</x:v>
      </x:c>
      <x:c r="E12" s="15" t="str">
        <x:v>SOPORTE DE MOTOR DS-150 14-18 / DS-150 G 18 / DS-150 VERDE  18 / DS-150 NEGRO 13-15 / DS-125 05-09</x:v>
      </x:c>
      <x:c r="F12" s="21" t="n">
        <x:v>3</x:v>
      </x:c>
      <x:c r="G12" s="21" t="n">
        <x:v>3</x:v>
      </x:c>
      <x:c r="H12" s="21" t="n">
        <x:f>F12-G12</x:f>
        <x:v>0</x:v>
      </x:c>
      <x:c r="I12" s="25" t="str">
        <x:v>06</x:v>
      </x:c>
      <x:c r="J12" s="22" t="n">
        <x:v>4</x:v>
      </x:c>
      <x:c r="K12" s="15" t="str"/>
    </x:row>
    <x:row r="13" ht="44" customHeight="1">
      <x:c r="A13" s="14" t="str">
        <x:v>A</x:v>
      </x:c>
      <x:c r="B13" s="14" t="str">
        <x:v>400</x:v>
      </x:c>
      <x:c r="C13" s="14" t="str">
        <x:v>2-5</x:v>
      </x:c>
      <x:c r="D13" s="14" t="str">
        <x:v>PAC-A001</x:v>
      </x:c>
      <x:c r="E13" s="15" t="str">
        <x:v>PARADOR CENTRAL DT-150 SPORT 17 / FORZA 150 0613 / FT-150 1416 / FT-150 AZULP-150G 16-17 / FT-150 GT 11-13 / FT-150</x:v>
      </x:c>
      <x:c r="F13" s="21" t="n">
        <x:v>64</x:v>
      </x:c>
      <x:c r="G13" s="21" t="n">
        <x:v>64</x:v>
      </x:c>
      <x:c r="H13" s="21" t="n">
        <x:f>F13-G13</x:f>
        <x:v>0</x:v>
      </x:c>
      <x:c r="I13" s="25" t="str">
        <x:v>06</x:v>
      </x:c>
      <x:c r="J13" s="22" t="n">
        <x:v>4</x:v>
      </x:c>
      <x:c r="K13" s="15" t="str"/>
    </x:row>
    <x:row r="14" ht="44" customHeight="1">
      <x:c r="A14" s="14" t="str">
        <x:v>A</x:v>
      </x:c>
      <x:c r="B14" s="14" t="str">
        <x:v>400</x:v>
      </x:c>
      <x:c r="C14" s="14" t="str">
        <x:v>6-7</x:v>
      </x:c>
      <x:c r="D14" s="14" t="str">
        <x:v>EDI-WO008</x:v>
      </x:c>
      <x:c r="E14" s="15" t="str">
        <x:v>EJE DE DIRECCION YUGO DT-125 CLASICA 17 / DT-125 DELIVERY 17 / DT-125 SPORT 17 / DT-150 CLASICA 17 / DT-150 DELIVERY 17/IT FORZA-125/IT FT-125CL/IT FT-125DEL/IT FT125/IT FT-125SP/FT-125TS/FT-150DEL/IT FT-150S/IT FT-150TSs</x:v>
      </x:c>
      <x:c r="F14" s="21" t="n">
        <x:v>20</x:v>
      </x:c>
      <x:c r="G14" s="21" t="n">
        <x:v>20</x:v>
      </x:c>
      <x:c r="H14" s="21" t="n">
        <x:f>F14-G14</x:f>
        <x:v>0</x:v>
      </x:c>
      <x:c r="I14" s="25" t="str">
        <x:v>06</x:v>
      </x:c>
      <x:c r="J14" s="22" t="n">
        <x:v>4</x:v>
      </x:c>
      <x:c r="K14" s="15" t="str"/>
    </x:row>
    <x:row r="15" ht="44" customHeight="1">
      <x:c r="A15" s="14" t="str">
        <x:v>A</x:v>
      </x:c>
      <x:c r="B15" s="14" t="str">
        <x:v>400</x:v>
      </x:c>
      <x:c r="C15" s="14" t="str">
        <x:v>8</x:v>
      </x:c>
      <x:c r="D15" s="14" t="str">
        <x:v>PAC-A002</x:v>
      </x:c>
      <x:c r="E15" s="15" t="str">
        <x:v>PARADOR CENTRAL W-150 17 / WS-150 08-17 / WS-150 NF 13-14 / WS-175 12-16 / DSG-125 17 / VGO-125 15-16/IT W-150 17-25</x:v>
      </x:c>
      <x:c r="F15" s="21" t="n">
        <x:v>20</x:v>
      </x:c>
      <x:c r="G15" s="21" t="n">
        <x:v>20</x:v>
      </x:c>
      <x:c r="H15" s="21" t="n">
        <x:f>F15-G15</x:f>
        <x:v>0</x:v>
      </x:c>
      <x:c r="I15" s="25" t="str">
        <x:v>06</x:v>
      </x:c>
      <x:c r="J15" s="22" t="n">
        <x:v>4</x:v>
      </x:c>
      <x:c r="K15" s="15" t="str"/>
    </x:row>
    <x:row r="16" ht="44" customHeight="1">
      <x:c r="A16" s="14" t="str">
        <x:v>A</x:v>
      </x:c>
      <x:c r="B16" s="14" t="str">
        <x:v>400</x:v>
      </x:c>
      <x:c r="C16" s="14" t="str">
        <x:v>9-10</x:v>
      </x:c>
      <x:c r="D16" s="14" t="str">
        <x:v>EDI-026</x:v>
      </x:c>
      <x:c r="E16" s="15" t="str">
        <x:v>EJE DE DIRECCION YUGO VN CROSSMAX PRO-250 21-22</x:v>
      </x:c>
      <x:c r="F16" s="21" t="n">
        <x:v>12</x:v>
      </x:c>
      <x:c r="G16" s="21" t="n">
        <x:v>12</x:v>
      </x:c>
      <x:c r="H16" s="21" t="n">
        <x:f>F16-G16</x:f>
        <x:v>0</x:v>
      </x:c>
      <x:c r="I16" s="25" t="str">
        <x:v>06</x:v>
      </x:c>
      <x:c r="J16" s="22" t="n">
        <x:v>4</x:v>
      </x:c>
      <x:c r="K16" s="15" t="str"/>
    </x:row>
    <x:row r="17" ht="44" customHeight="1">
      <x:c r="A17" s="14" t="str">
        <x:v>A</x:v>
      </x:c>
      <x:c r="B17" s="14" t="str">
        <x:v>400</x:v>
      </x:c>
      <x:c r="C17" s="14" t="str">
        <x:v>11-14</x:v>
      </x:c>
      <x:c r="D17" s="14" t="str">
        <x:v>EDI-019</x:v>
      </x:c>
      <x:c r="E17" s="15" t="str">
        <x:v>EJE DE DIRECCION YUGO D-125 16-18</x:v>
      </x:c>
      <x:c r="F17" s="21" t="n">
        <x:v>32</x:v>
      </x:c>
      <x:c r="G17" s="21" t="n">
        <x:v>32</x:v>
      </x:c>
      <x:c r="H17" s="21" t="n">
        <x:f>F17-G17</x:f>
        <x:v>0</x:v>
      </x:c>
      <x:c r="I17" s="25" t="str">
        <x:v>06</x:v>
      </x:c>
      <x:c r="J17" s="22" t="n">
        <x:v>4</x:v>
      </x:c>
      <x:c r="K17" s="15" t="str"/>
    </x:row>
    <x:row r="18" ht="44" customHeight="1">
      <x:c r="A18" s="14" t="str">
        <x:v>A</x:v>
      </x:c>
      <x:c r="B18" s="14" t="str">
        <x:v>400</x:v>
      </x:c>
      <x:c r="C18" s="14" t="str">
        <x:v>15-16</x:v>
      </x:c>
      <x:c r="D18" s="14" t="str">
        <x:v>EDI-024</x:v>
      </x:c>
      <x:c r="E18" s="15" t="str">
        <x:v>EJE DE DIRECCION YUGO WS-150SP 17-22/WS-175SP 18-22</x:v>
      </x:c>
      <x:c r="F18" s="21" t="n">
        <x:v>16</x:v>
      </x:c>
      <x:c r="G18" s="21" t="n">
        <x:v>16</x:v>
      </x:c>
      <x:c r="H18" s="21" t="n">
        <x:f>F18-G18</x:f>
        <x:v>0</x:v>
      </x:c>
      <x:c r="I18" s="25" t="str">
        <x:v>06</x:v>
      </x:c>
      <x:c r="J18" s="22" t="n">
        <x:v>4</x:v>
      </x:c>
      <x:c r="K18" s="15" t="str"/>
    </x:row>
    <x:row r="19" ht="44" customHeight="1">
      <x:c r="A19" s="14" t="str">
        <x:v>A</x:v>
      </x:c>
      <x:c r="B19" s="14" t="str">
        <x:v>600</x:v>
      </x:c>
      <x:c r="C19" s="14" t="str">
        <x:v>17</x:v>
      </x:c>
      <x:c r="D19" s="14" t="str">
        <x:v>BAJ-003</x:v>
      </x:c>
      <x:c r="E19" s="15" t="str">
        <x:v>BARRAS DE SUSPENSION DER / IZQ GRIS AT-110 NEGRA 16-17 / AX-110 16</x:v>
      </x:c>
      <x:c r="F19" s="21" t="n">
        <x:v>5</x:v>
      </x:c>
      <x:c r="G19" s="21" t="n">
        <x:v>5</x:v>
      </x:c>
      <x:c r="H19" s="21" t="n">
        <x:f>F19-G19</x:f>
        <x:v>0</x:v>
      </x:c>
      <x:c r="I19" s="25" t="str">
        <x:v>01</x:v>
      </x:c>
      <x:c r="J19" s="22" t="n">
        <x:v>6</x:v>
      </x:c>
      <x:c r="K19" s="15" t="str"/>
    </x:row>
    <x:row r="20" ht="44" customHeight="1">
      <x:c r="A20" s="14" t="str">
        <x:v>A</x:v>
      </x:c>
      <x:c r="B20" s="14" t="str">
        <x:v>600</x:v>
      </x:c>
      <x:c r="C20" s="14" t="str">
        <x:v>18</x:v>
      </x:c>
      <x:c r="D20" s="14" t="str">
        <x:v>BAJ-047</x:v>
      </x:c>
      <x:c r="E20" s="15" t="str">
        <x:v>BARRAS DE SUSPENSION DER/IZQ NEGRO IT D-125LT 21-22</x:v>
      </x:c>
      <x:c r="F20" s="21" t="n">
        <x:v>2</x:v>
      </x:c>
      <x:c r="G20" s="21" t="n">
        <x:v>2</x:v>
      </x:c>
      <x:c r="H20" s="21" t="n">
        <x:f>F20-G20</x:f>
        <x:v>0</x:v>
      </x:c>
      <x:c r="I20" s="25" t="str">
        <x:v>01</x:v>
      </x:c>
      <x:c r="J20" s="22" t="n">
        <x:v>6</x:v>
      </x:c>
      <x:c r="K20" s="15" t="str"/>
    </x:row>
    <x:row r="21" ht="44" customHeight="1">
      <x:c r="A21" s="14" t="str">
        <x:v>A</x:v>
      </x:c>
      <x:c r="B21" s="14" t="str">
        <x:v>600</x:v>
      </x:c>
      <x:c r="C21" s="14" t="str">
        <x:v>18</x:v>
      </x:c>
      <x:c r="D21" s="14" t="str">
        <x:v>PAR-075</x:v>
      </x:c>
      <x:c r="E21" s="15" t="str">
        <x:v>DESLIZADOR SLIDER NEGRO MATE SK GIXXER</x:v>
      </x:c>
      <x:c r="F21" s="21" t="n">
        <x:v>3</x:v>
      </x:c>
      <x:c r="G21" s="21" t="n">
        <x:v>3</x:v>
      </x:c>
      <x:c r="H21" s="21" t="n">
        <x:f>F21-G21</x:f>
        <x:v>0</x:v>
      </x:c>
      <x:c r="I21" s="25" t="str">
        <x:v>01</x:v>
      </x:c>
      <x:c r="J21" s="22" t="n">
        <x:v>6</x:v>
      </x:c>
      <x:c r="K21" s="15" t="str"/>
    </x:row>
    <x:row r="22" ht="44" customHeight="1">
      <x:c r="A22" s="14" t="str">
        <x:v>A</x:v>
      </x:c>
      <x:c r="B22" s="14" t="str">
        <x:v>100</x:v>
      </x:c>
      <x:c r="C22" s="14" t="str">
        <x:v>19-23</x:v>
      </x:c>
      <x:c r="D22" s="14" t="str">
        <x:v>FAR-035NE</x:v>
      </x:c>
      <x:c r="E22" s="15" t="str">
        <x:v>FARO C/BISEL NEGRO 12 Vcc 150-SZ 16-18 / 150-Z 14-16 / 150-Z 19-20 / 170-Z 16-18</x:v>
      </x:c>
      <x:c r="F22" s="21" t="n">
        <x:v>40</x:v>
      </x:c>
      <x:c r="G22" s="21" t="n">
        <x:v>40</x:v>
      </x:c>
      <x:c r="H22" s="21" t="n">
        <x:f>F22-G22</x:f>
        <x:v>0</x:v>
      </x:c>
      <x:c r="I22" s="25" t="str">
        <x:v>04</x:v>
      </x:c>
      <x:c r="J22" s="22" t="n">
        <x:v>1</x:v>
      </x:c>
      <x:c r="K22" s="15" t="str"/>
    </x:row>
    <x:row r="23" ht="44" customHeight="1">
      <x:c r="A23" s="14" t="str">
        <x:v>A</x:v>
      </x:c>
      <x:c r="B23" s="14" t="str">
        <x:v>100</x:v>
      </x:c>
      <x:c r="C23" s="14" t="str">
        <x:v>24-25</x:v>
      </x:c>
      <x:c r="D23" s="14" t="str">
        <x:v>FAR-090</x:v>
      </x:c>
      <x:c r="E23" s="15" t="str">
        <x:v>FARO 12 Vcc DT-150 SPORT II 17-19 / FIERA 150 18-19 / FT-180 TS 19</x:v>
      </x:c>
      <x:c r="F23" s="21" t="n">
        <x:v>20</x:v>
      </x:c>
      <x:c r="G23" s="21" t="n">
        <x:v>20</x:v>
      </x:c>
      <x:c r="H23" s="21" t="n">
        <x:f>F23-G23</x:f>
        <x:v>0</x:v>
      </x:c>
      <x:c r="I23" s="25" t="str">
        <x:v>04</x:v>
      </x:c>
      <x:c r="J23" s="22" t="n">
        <x:v>1</x:v>
      </x:c>
      <x:c r="K23" s="15" t="str"/>
    </x:row>
    <x:row r="24" ht="44" customHeight="1">
      <x:c r="A24" s="14" t="str">
        <x:v>A</x:v>
      </x:c>
      <x:c r="B24" s="14" t="str">
        <x:v>100</x:v>
      </x:c>
      <x:c r="C24" s="14" t="str">
        <x:v>26-27</x:v>
      </x:c>
      <x:c r="D24" s="14" t="str">
        <x:v>FAR-040NE</x:v>
      </x:c>
      <x:c r="E24" s="15" t="str">
        <x:v>FARO C/BISEL NEGRO 12 Vcc DM-200 14-20</x:v>
      </x:c>
      <x:c r="F24" s="21" t="n">
        <x:v>20</x:v>
      </x:c>
      <x:c r="G24" s="21" t="n">
        <x:v>20</x:v>
      </x:c>
      <x:c r="H24" s="21" t="n">
        <x:f>F24-G24</x:f>
        <x:v>0</x:v>
      </x:c>
      <x:c r="I24" s="25" t="str">
        <x:v>04</x:v>
      </x:c>
      <x:c r="J24" s="22" t="n">
        <x:v>1</x:v>
      </x:c>
      <x:c r="K24" s="15" t="str"/>
    </x:row>
    <x:row r="25" ht="44" customHeight="1">
      <x:c r="A25" s="14" t="str">
        <x:v>A</x:v>
      </x:c>
      <x:c r="B25" s="14" t="str">
        <x:v>100</x:v>
      </x:c>
      <x:c r="C25" s="14" t="str">
        <x:v>28</x:v>
      </x:c>
      <x:c r="D25" s="14" t="str">
        <x:v>FAR-065NE</x:v>
      </x:c>
      <x:c r="E25" s="15" t="str">
        <x:v>FARO C/BISEL NEGRO 12 VCC FT-150 GTS 16-18 / FT-150 GTS ROJA 18-20</x:v>
      </x:c>
      <x:c r="F25" s="21" t="n">
        <x:v>4</x:v>
      </x:c>
      <x:c r="G25" s="21" t="n">
        <x:v>4</x:v>
      </x:c>
      <x:c r="H25" s="21" t="n">
        <x:f>F25-G25</x:f>
        <x:v>0</x:v>
      </x:c>
      <x:c r="I25" s="25" t="str">
        <x:v>04</x:v>
      </x:c>
      <x:c r="J25" s="22" t="n">
        <x:v>1</x:v>
      </x:c>
      <x:c r="K25" s="15" t="str"/>
    </x:row>
    <x:row r="26" ht="44" customHeight="1">
      <x:c r="A26" s="14" t="str">
        <x:v>A</x:v>
      </x:c>
      <x:c r="B26" s="14" t="str">
        <x:v>100</x:v>
      </x:c>
      <x:c r="C26" s="14" t="str">
        <x:v>30-35</x:v>
      </x:c>
      <x:c r="D26" s="14" t="str">
        <x:v>HOR-025</x:v>
      </x:c>
      <x:c r="E26" s="15" t="str">
        <x:v>HORQUILLA TRASERA 125-Z 16-19/125-FL 19-21/125-FL PAR 19-20</x:v>
      </x:c>
      <x:c r="F26" s="21" t="n">
        <x:v>30</x:v>
      </x:c>
      <x:c r="G26" s="21" t="n">
        <x:v>30</x:v>
      </x:c>
      <x:c r="H26" s="21" t="n">
        <x:f>F26-G26</x:f>
        <x:v>0</x:v>
      </x:c>
      <x:c r="I26" s="25" t="str">
        <x:v>04</x:v>
      </x:c>
      <x:c r="J26" s="22" t="n">
        <x:v>1</x:v>
      </x:c>
      <x:c r="K26" s="15" t="str"/>
    </x:row>
    <x:row r="27" ht="44" customHeight="1">
      <x:c r="A27" s="14" t="str">
        <x:v>A</x:v>
      </x:c>
      <x:c r="B27" s="14" t="str">
        <x:v>100</x:v>
      </x:c>
      <x:c r="C27" s="14" t="str">
        <x:v>36-37</x:v>
      </x:c>
      <x:c r="D27" s="14" t="str">
        <x:v>FAR-129</x:v>
      </x:c>
      <x:c r="E27" s="15" t="str">
        <x:v>FARO 12 Vcc IT D-125LT 21-22</x:v>
      </x:c>
      <x:c r="F27" s="21" t="n">
        <x:v>40</x:v>
      </x:c>
      <x:c r="G27" s="21" t="n">
        <x:v>40</x:v>
      </x:c>
      <x:c r="H27" s="21" t="n">
        <x:f>F27-G27</x:f>
        <x:v>0</x:v>
      </x:c>
      <x:c r="I27" s="25" t="str">
        <x:v>04</x:v>
      </x:c>
      <x:c r="J27" s="22" t="n">
        <x:v>1</x:v>
      </x:c>
      <x:c r="K27" s="15" t="str"/>
    </x:row>
    <x:row r="28" ht="44" customHeight="1">
      <x:c r="A28" s="14" t="str">
        <x:v>A</x:v>
      </x:c>
      <x:c r="B28" s="14" t="str">
        <x:v>100</x:v>
      </x:c>
      <x:c r="C28" s="14" t="str">
        <x:v>38-39</x:v>
      </x:c>
      <x:c r="D28" s="14" t="str">
        <x:v>FAR-150</x:v>
      </x:c>
      <x:c r="E28" s="15" t="str">
        <x:v>FARO C/BISEL NEGRO 12 Vcc VN NITROX-250T3 24/VN NITROX-300T3 24</x:v>
      </x:c>
      <x:c r="F28" s="21" t="n">
        <x:v>30</x:v>
      </x:c>
      <x:c r="G28" s="21" t="n">
        <x:v>30</x:v>
      </x:c>
      <x:c r="H28" s="21" t="n">
        <x:f>F28-G28</x:f>
        <x:v>0</x:v>
      </x:c>
      <x:c r="I28" s="25" t="str">
        <x:v>04</x:v>
      </x:c>
      <x:c r="J28" s="22" t="n">
        <x:v>1</x:v>
      </x:c>
      <x:c r="K28" s="15" t="str"/>
    </x:row>
    <x:row r="29" ht="44" customHeight="1">
      <x:c r="A29" s="14" t="str">
        <x:v>A</x:v>
      </x:c>
      <x:c r="B29" s="14" t="str">
        <x:v>100</x:v>
      </x:c>
      <x:c r="C29" s="14" t="str">
        <x:v>39</x:v>
      </x:c>
      <x:c r="D29" s="14" t="str">
        <x:v>FAR-062</x:v>
      </x:c>
      <x:c r="E29" s="15" t="str">
        <x:v>FARO C/BISEL Y VISOR NEGRO 12 Vcc NS-200</x:v>
      </x:c>
      <x:c r="F29" s="21" t="n">
        <x:v>2</x:v>
      </x:c>
      <x:c r="G29" s="21" t="n">
        <x:v>2</x:v>
      </x:c>
      <x:c r="H29" s="21" t="n">
        <x:f>F29-G29</x:f>
        <x:v>0</x:v>
      </x:c>
      <x:c r="I29" s="25" t="str">
        <x:v>04</x:v>
      </x:c>
      <x:c r="J29" s="22" t="n">
        <x:v>1</x:v>
      </x:c>
      <x:c r="K29" s="15" t="str"/>
    </x:row>
    <x:row r="30" ht="44" customHeight="1">
      <x:c r="A30" s="14" t="str">
        <x:v>A</x:v>
      </x:c>
      <x:c r="B30" s="14" t="str">
        <x:v>100</x:v>
      </x:c>
      <x:c r="C30" s="14" t="str">
        <x:v>39</x:v>
      </x:c>
      <x:c r="D30" s="14" t="str">
        <x:v>FAR-138</x:v>
      </x:c>
      <x:c r="E30" s="15" t="str">
        <x:v>FARO PRINCIPAL 12VCC VN ALPINA-300 22-24</x:v>
      </x:c>
      <x:c r="F30" s="21" t="n">
        <x:v>2</x:v>
      </x:c>
      <x:c r="G30" s="21" t="n">
        <x:v>2</x:v>
      </x:c>
      <x:c r="H30" s="21" t="n">
        <x:f>F30-G30</x:f>
        <x:v>0</x:v>
      </x:c>
      <x:c r="I30" s="25" t="str">
        <x:v>04</x:v>
      </x:c>
      <x:c r="J30" s="22" t="n">
        <x:v>1</x:v>
      </x:c>
      <x:c r="K30" s="15" t="str"/>
    </x:row>
    <x:row r="31" ht="44" customHeight="1">
      <x:c r="A31" s="14" t="str">
        <x:v>A</x:v>
      </x:c>
      <x:c r="B31" s="14" t="str">
        <x:v>100</x:v>
      </x:c>
      <x:c r="C31" s="14" t="str">
        <x:v>40</x:v>
      </x:c>
      <x:c r="D31" s="14" t="str">
        <x:v>FAR-030</x:v>
      </x:c>
      <x:c r="E31" s="15" t="str">
        <x:v>FARO LED  12 Vcc FT-180 13-17 / FT-200 14-15</x:v>
      </x:c>
      <x:c r="F31" s="21" t="n">
        <x:v>7</x:v>
      </x:c>
      <x:c r="G31" s="21" t="n">
        <x:v>7</x:v>
      </x:c>
      <x:c r="H31" s="21" t="n">
        <x:f>F31-G31</x:f>
        <x:v>0</x:v>
      </x:c>
      <x:c r="I31" s="25" t="str">
        <x:v>04</x:v>
      </x:c>
      <x:c r="J31" s="22" t="n">
        <x:v>1</x:v>
      </x:c>
      <x:c r="K31" s="15" t="str"/>
    </x:row>
    <x:row r="32" ht="44" customHeight="1">
      <x:c r="A32" s="14" t="str">
        <x:v>A</x:v>
      </x:c>
      <x:c r="B32" s="14" t="str">
        <x:v>100</x:v>
      </x:c>
      <x:c r="C32" s="14" t="str">
        <x:v>40; 42</x:v>
      </x:c>
      <x:c r="D32" s="14" t="str">
        <x:v>FAR-128</x:v>
      </x:c>
      <x:c r="E32" s="15" t="str">
        <x:v>FARO 12 VCC VN CROSSMAX PRO-250 21-22/VN CROSSMAX-250 20-22/VN CROSSMAX-200 19-22</x:v>
      </x:c>
      <x:c r="F32" s="21" t="n">
        <x:v>4</x:v>
      </x:c>
      <x:c r="G32" s="21" t="n">
        <x:v>4</x:v>
      </x:c>
      <x:c r="H32" s="21" t="n">
        <x:f>F32-G32</x:f>
        <x:v>0</x:v>
      </x:c>
      <x:c r="I32" s="25" t="str">
        <x:v>04</x:v>
      </x:c>
      <x:c r="J32" s="22" t="n">
        <x:v>1</x:v>
      </x:c>
      <x:c r="K32" s="15" t="str">
        <x:v>Caja 40: 1 pz; caja 42: 3 pz.</x:v>
      </x:c>
    </x:row>
    <x:row r="33" ht="44" customHeight="1">
      <x:c r="A33" s="14" t="str">
        <x:v>A</x:v>
      </x:c>
      <x:c r="B33" s="14" t="str">
        <x:v>300</x:v>
      </x:c>
      <x:c r="C33" s="14" t="str">
        <x:v>41</x:v>
      </x:c>
      <x:c r="D33" s="14" t="str">
        <x:v>BAS-001</x:v>
      </x:c>
      <x:c r="E33" s="15" t="str">
        <x:v>BASE DE MANUBRIO DT-150 SPORT 17 / FORZA 150 09-13 / FT-150 14-16 / FT-150 AZULP 13-16 / FT-150 GT 11-13 / FT-150GTS</x:v>
      </x:c>
      <x:c r="F33" s="21" t="n">
        <x:v>30</x:v>
      </x:c>
      <x:c r="G33" s="21" t="n">
        <x:v>30</x:v>
      </x:c>
      <x:c r="H33" s="21" t="n">
        <x:f>F33-G33</x:f>
        <x:v>0</x:v>
      </x:c>
      <x:c r="I33" s="25" t="str">
        <x:v>02</x:v>
      </x:c>
      <x:c r="J33" s="22" t="n">
        <x:v>3</x:v>
      </x:c>
      <x:c r="K33" s="15" t="str"/>
    </x:row>
    <x:row r="34" ht="44" customHeight="1">
      <x:c r="A34" s="14" t="str">
        <x:v>A</x:v>
      </x:c>
      <x:c r="B34" s="14" t="str">
        <x:v>300</x:v>
      </x:c>
      <x:c r="C34" s="14" t="str">
        <x:v>42</x:v>
      </x:c>
      <x:c r="D34" s="14" t="str">
        <x:v>BFA-012</x:v>
      </x:c>
      <x:c r="E34" s="15" t="str">
        <x:v>BASE DE FARO IT FT-125TS 22-25/IT FT-150TS 19-25</x:v>
      </x:c>
      <x:c r="F34" s="21" t="n">
        <x:v>5</x:v>
      </x:c>
      <x:c r="G34" s="21" t="n">
        <x:v>5</x:v>
      </x:c>
      <x:c r="H34" s="21" t="n">
        <x:f>F34-G34</x:f>
        <x:v>0</x:v>
      </x:c>
      <x:c r="I34" s="25" t="str">
        <x:v>02</x:v>
      </x:c>
      <x:c r="J34" s="22" t="n">
        <x:v>3</x:v>
      </x:c>
      <x:c r="K34" s="15" t="str"/>
    </x:row>
    <x:row r="35" ht="44" customHeight="1">
      <x:c r="A35" s="14" t="str">
        <x:v>A</x:v>
      </x:c>
      <x:c r="B35" s="14" t="str">
        <x:v>100</x:v>
      </x:c>
      <x:c r="C35" s="14" t="str">
        <x:v>42</x:v>
      </x:c>
      <x:c r="D35" s="14" t="str">
        <x:v>HOR-019</x:v>
      </x:c>
      <x:c r="E35" s="15" t="str">
        <x:v>HORQUILLA TRASERA DT-125 CLASICA 17 / DT-125 DELIVERY 17 / DT-125 SPORT 17 / DT-150 CLASICA 17 / DT-150 DELIVERY 17 /</x:v>
      </x:c>
      <x:c r="F35" s="21" t="n">
        <x:v>1</x:v>
      </x:c>
      <x:c r="G35" s="21" t="n">
        <x:v>1</x:v>
      </x:c>
      <x:c r="H35" s="21" t="n">
        <x:f>F35-G35</x:f>
        <x:v>0</x:v>
      </x:c>
      <x:c r="I35" s="25" t="str">
        <x:v>04</x:v>
      </x:c>
      <x:c r="J35" s="22" t="n">
        <x:v>1</x:v>
      </x:c>
      <x:c r="K35" s="15" t="str"/>
    </x:row>
    <x:row r="36" ht="44" customHeight="1">
      <x:c r="A36" s="14" t="str">
        <x:v>A</x:v>
      </x:c>
      <x:c r="B36" s="14" t="str">
        <x:v>500</x:v>
      </x:c>
      <x:c r="C36" s="14" t="str">
        <x:v>43</x:v>
      </x:c>
      <x:c r="D36" s="14" t="str">
        <x:v>CAS-CH-K018-L</x:v>
      </x:c>
      <x:c r="E36" s="15" t="str">
        <x:v>CASCO CACHUCHA ADULTO RACING RED TALLA L</x:v>
      </x:c>
      <x:c r="F36" s="21" t="n">
        <x:v>9</x:v>
      </x:c>
      <x:c r="G36" s="21" t="n">
        <x:v>9</x:v>
      </x:c>
      <x:c r="H36" s="21" t="n">
        <x:f>F36-G36</x:f>
        <x:v>0</x:v>
      </x:c>
      <x:c r="I36" s="25" t="str">
        <x:v>08</x:v>
      </x:c>
      <x:c r="J36" s="22" t="n">
        <x:v>5</x:v>
      </x:c>
      <x:c r="K36" s="15" t="str"/>
    </x:row>
    <x:row r="37" ht="44" customHeight="1">
      <x:c r="A37" s="14" t="str">
        <x:v>A</x:v>
      </x:c>
      <x:c r="B37" s="14" t="str">
        <x:v>500</x:v>
      </x:c>
      <x:c r="C37" s="14" t="str">
        <x:v>43; 45</x:v>
      </x:c>
      <x:c r="D37" s="14" t="str">
        <x:v>CAS-CH-K018-XL</x:v>
      </x:c>
      <x:c r="E37" s="15" t="str">
        <x:v>CASCO CACHUCHA ADULTO RACING RED TALLA XL</x:v>
      </x:c>
      <x:c r="F37" s="21" t="n">
        <x:v>6</x:v>
      </x:c>
      <x:c r="G37" s="21" t="n">
        <x:v>6</x:v>
      </x:c>
      <x:c r="H37" s="21" t="n">
        <x:f>F37-G37</x:f>
        <x:v>0</x:v>
      </x:c>
      <x:c r="I37" s="25" t="str">
        <x:v>08</x:v>
      </x:c>
      <x:c r="J37" s="22" t="n">
        <x:v>5</x:v>
      </x:c>
      <x:c r="K37" s="15" t="str">
        <x:v>Caja 43: 4 pz; caja 45: 2 pz.</x:v>
      </x:c>
    </x:row>
    <x:row r="38" ht="44" customHeight="1">
      <x:c r="A38" s="14" t="str">
        <x:v>A</x:v>
      </x:c>
      <x:c r="B38" s="14" t="str">
        <x:v>500</x:v>
      </x:c>
      <x:c r="C38" s="14" t="str">
        <x:v>43</x:v>
      </x:c>
      <x:c r="D38" s="14" t="str">
        <x:v>CAS-CH-K019-M</x:v>
      </x:c>
      <x:c r="E38" s="15" t="str">
        <x:v>CASCO CACHUCHA ADULTO LUKY RED TALLA M</x:v>
      </x:c>
      <x:c r="F38" s="21" t="n">
        <x:v>9</x:v>
      </x:c>
      <x:c r="G38" s="21" t="n">
        <x:v>9</x:v>
      </x:c>
      <x:c r="H38" s="21" t="n">
        <x:f>F38-G38</x:f>
        <x:v>0</x:v>
      </x:c>
      <x:c r="I38" s="25" t="str">
        <x:v>08</x:v>
      </x:c>
      <x:c r="J38" s="22" t="n">
        <x:v>5</x:v>
      </x:c>
      <x:c r="K38" s="15" t="str"/>
    </x:row>
    <x:row r="39" ht="44" customHeight="1">
      <x:c r="A39" s="14" t="str">
        <x:v>A</x:v>
      </x:c>
      <x:c r="B39" s="14" t="str">
        <x:v>500</x:v>
      </x:c>
      <x:c r="C39" s="14" t="str">
        <x:v>44</x:v>
      </x:c>
      <x:c r="D39" s="14" t="str">
        <x:v>CAS-CH-K017-XL</x:v>
      </x:c>
      <x:c r="E39" s="15" t="str">
        <x:v>CASCO CACHUCHA ADULTO SILVER RACING TALLA XL</x:v>
      </x:c>
      <x:c r="F39" s="21" t="n">
        <x:v>30</x:v>
      </x:c>
      <x:c r="G39" s="21" t="n">
        <x:v>30</x:v>
      </x:c>
      <x:c r="H39" s="21" t="n">
        <x:f>F39-G39</x:f>
        <x:v>0</x:v>
      </x:c>
      <x:c r="I39" s="25" t="str">
        <x:v>08</x:v>
      </x:c>
      <x:c r="J39" s="22" t="n">
        <x:v>5</x:v>
      </x:c>
      <x:c r="K39" s="15" t="str"/>
    </x:row>
    <x:row r="40" ht="44" customHeight="1">
      <x:c r="A40" s="14" t="str">
        <x:v>A</x:v>
      </x:c>
      <x:c r="B40" s="14" t="str">
        <x:v>500</x:v>
      </x:c>
      <x:c r="C40" s="14" t="str">
        <x:v>45</x:v>
      </x:c>
      <x:c r="D40" s="14" t="str">
        <x:v>CAS-CH-K016-L</x:v>
      </x:c>
      <x:c r="E40" s="15" t="str">
        <x:v>CASCO CACHUCHA ADULTO KR´S BEIGE TALLA L</x:v>
      </x:c>
      <x:c r="F40" s="21" t="n">
        <x:v>2</x:v>
      </x:c>
      <x:c r="G40" s="21" t="n">
        <x:v>2</x:v>
      </x:c>
      <x:c r="H40" s="21" t="n">
        <x:f>F40-G40</x:f>
        <x:v>0</x:v>
      </x:c>
      <x:c r="I40" s="25" t="str">
        <x:v>08</x:v>
      </x:c>
      <x:c r="J40" s="22" t="n">
        <x:v>5</x:v>
      </x:c>
      <x:c r="K40" s="15" t="str"/>
    </x:row>
    <x:row r="41" ht="44" customHeight="1">
      <x:c r="A41" s="14" t="str">
        <x:v>A</x:v>
      </x:c>
      <x:c r="B41" s="14" t="str">
        <x:v>500</x:v>
      </x:c>
      <x:c r="C41" s="14" t="str">
        <x:v>45</x:v>
      </x:c>
      <x:c r="D41" s="14" t="str">
        <x:v>CAS-CH-K016-M</x:v>
      </x:c>
      <x:c r="E41" s="15" t="str">
        <x:v>CASCO CACHUCHA ADULTO KR´S BEIGE TALLA M</x:v>
      </x:c>
      <x:c r="F41" s="21" t="n">
        <x:v>9</x:v>
      </x:c>
      <x:c r="G41" s="21" t="n">
        <x:v>9</x:v>
      </x:c>
      <x:c r="H41" s="21" t="n">
        <x:f>F41-G41</x:f>
        <x:v>0</x:v>
      </x:c>
      <x:c r="I41" s="25" t="str">
        <x:v>08</x:v>
      </x:c>
      <x:c r="J41" s="22" t="n">
        <x:v>5</x:v>
      </x:c>
      <x:c r="K41" s="15" t="str"/>
    </x:row>
    <x:row r="42" ht="44" customHeight="1">
      <x:c r="A42" s="14" t="str">
        <x:v>A</x:v>
      </x:c>
      <x:c r="B42" s="14" t="str">
        <x:v>700</x:v>
      </x:c>
      <x:c r="C42" s="14" t="str">
        <x:v>46-49</x:v>
      </x:c>
      <x:c r="D42" s="14" t="str">
        <x:v>SAL-033</x:v>
      </x:c>
      <x:c r="E42" s="15" t="str">
        <x:v>SALPICADERA TRASERA DM-200 14-17</x:v>
      </x:c>
      <x:c r="F42" s="21" t="n">
        <x:v>100</x:v>
      </x:c>
      <x:c r="G42" s="21" t="n">
        <x:v>100</x:v>
      </x:c>
      <x:c r="H42" s="21" t="n">
        <x:f>F42-G42</x:f>
        <x:v>0</x:v>
      </x:c>
      <x:c r="I42" s="25" t="str">
        <x:v>07</x:v>
      </x:c>
      <x:c r="J42" s="22" t="n">
        <x:v>7</x:v>
      </x:c>
      <x:c r="K42" s="15" t="str"/>
    </x:row>
    <x:row r="43" ht="44" customHeight="1">
      <x:c r="A43" s="14" t="str">
        <x:v>A</x:v>
      </x:c>
      <x:c r="B43" s="14" t="str">
        <x:v>700</x:v>
      </x:c>
      <x:c r="C43" s="14" t="str">
        <x:v>50</x:v>
      </x:c>
      <x:c r="D43" s="14" t="str">
        <x:v>SAD-090</x:v>
      </x:c>
      <x:c r="E43" s="15" t="str">
        <x:v>SALPICADERA DELANTERA AZUL CON NEGRO IT WS-150SP 19-22</x:v>
      </x:c>
      <x:c r="F43" s="21" t="n">
        <x:v>25</x:v>
      </x:c>
      <x:c r="G43" s="21" t="n">
        <x:v>25</x:v>
      </x:c>
      <x:c r="H43" s="21" t="n">
        <x:f>F43-G43</x:f>
        <x:v>0</x:v>
      </x:c>
      <x:c r="I43" s="25" t="str">
        <x:v>07</x:v>
      </x:c>
      <x:c r="J43" s="22" t="n">
        <x:v>7</x:v>
      </x:c>
      <x:c r="K43" s="15" t="str"/>
    </x:row>
    <x:row r="44" ht="44" customHeight="1">
      <x:c r="A44" s="14" t="str">
        <x:v>A</x:v>
      </x:c>
      <x:c r="B44" s="14" t="str">
        <x:v>700</x:v>
      </x:c>
      <x:c r="C44" s="14" t="str">
        <x:v>51</x:v>
      </x:c>
      <x:c r="D44" s="14" t="str">
        <x:v>SAD-029</x:v>
      </x:c>
      <x:c r="E44" s="15" t="str">
        <x:v>SALPICADERA DELANTERA NEGRO/ ROJO WS-150 15-19</x:v>
      </x:c>
      <x:c r="F44" s="21" t="n">
        <x:v>25</x:v>
      </x:c>
      <x:c r="G44" s="21" t="n">
        <x:v>25</x:v>
      </x:c>
      <x:c r="H44" s="21" t="n">
        <x:f>F44-G44</x:f>
        <x:v>0</x:v>
      </x:c>
      <x:c r="I44" s="25" t="str">
        <x:v>07</x:v>
      </x:c>
      <x:c r="J44" s="22" t="n">
        <x:v>7</x:v>
      </x:c>
      <x:c r="K44" s="15" t="str"/>
    </x:row>
    <x:row r="45" ht="44" customHeight="1">
      <x:c r="A45" s="14" t="str">
        <x:v>A</x:v>
      </x:c>
      <x:c r="B45" s="14" t="str">
        <x:v>700</x:v>
      </x:c>
      <x:c r="C45" s="14" t="str">
        <x:v>52</x:v>
      </x:c>
      <x:c r="D45" s="14" t="str">
        <x:v>SAL-059NE</x:v>
      </x:c>
      <x:c r="E45" s="15" t="str">
        <x:v>SALPICADERA TRASERA NEGRA IT FT-150TS 19-25</x:v>
      </x:c>
      <x:c r="F45" s="21" t="n">
        <x:v>12</x:v>
      </x:c>
      <x:c r="G45" s="21" t="n">
        <x:v>12</x:v>
      </x:c>
      <x:c r="H45" s="21" t="n">
        <x:f>F45-G45</x:f>
        <x:v>0</x:v>
      </x:c>
      <x:c r="I45" s="25" t="str">
        <x:v>07</x:v>
      </x:c>
      <x:c r="J45" s="22" t="n">
        <x:v>7</x:v>
      </x:c>
      <x:c r="K45" s="15" t="str"/>
    </x:row>
    <x:row r="46" ht="44" customHeight="1">
      <x:c r="A46" s="14" t="str">
        <x:v>A</x:v>
      </x:c>
      <x:c r="B46" s="14" t="str">
        <x:v>700</x:v>
      </x:c>
      <x:c r="C46" s="14" t="str">
        <x:v>53</x:v>
      </x:c>
      <x:c r="D46" s="14" t="str">
        <x:v>SAL-048</x:v>
      </x:c>
      <x:c r="E46" s="15" t="str">
        <x:v>SALPICADERA TRASERA CON LUZ 12 Vcc DM-150</x:v>
      </x:c>
      <x:c r="F46" s="21" t="n">
        <x:v>6</x:v>
      </x:c>
      <x:c r="G46" s="21" t="n">
        <x:v>6</x:v>
      </x:c>
      <x:c r="H46" s="21" t="n">
        <x:f>F46-G46</x:f>
        <x:v>0</x:v>
      </x:c>
      <x:c r="I46" s="25" t="str">
        <x:v>07</x:v>
      </x:c>
      <x:c r="J46" s="22" t="n">
        <x:v>7</x:v>
      </x:c>
      <x:c r="K46" s="15" t="str"/>
    </x:row>
    <x:row r="47" ht="44" customHeight="1">
      <x:c r="A47" s="14" t="str">
        <x:v>A</x:v>
      </x:c>
      <x:c r="B47" s="14" t="str">
        <x:v>700</x:v>
      </x:c>
      <x:c r="C47" s="14" t="str">
        <x:v>54</x:v>
      </x:c>
      <x:c r="D47" s="14" t="str">
        <x:v>SAD-040NE</x:v>
      </x:c>
      <x:c r="E47" s="15" t="str">
        <x:v>SALPICADERA DELANTERA NEGRO MATE DT-150 SPORT II 17-19</x:v>
      </x:c>
      <x:c r="F47" s="21" t="n">
        <x:v>10</x:v>
      </x:c>
      <x:c r="G47" s="21" t="n">
        <x:v>10</x:v>
      </x:c>
      <x:c r="H47" s="21" t="n">
        <x:f>F47-G47</x:f>
        <x:v>0</x:v>
      </x:c>
      <x:c r="I47" s="25" t="str">
        <x:v>07</x:v>
      </x:c>
      <x:c r="J47" s="22" t="n">
        <x:v>7</x:v>
      </x:c>
      <x:c r="K47" s="15" t="str"/>
    </x:row>
    <x:row r="48" ht="44" customHeight="1">
      <x:c r="A48" s="14" t="str">
        <x:v>A</x:v>
      </x:c>
      <x:c r="B48" s="14" t="str">
        <x:v>200</x:v>
      </x:c>
      <x:c r="C48" s="14" t="str">
        <x:v>55</x:v>
      </x:c>
      <x:c r="D48" s="14" t="str">
        <x:v>RIN-168</x:v>
      </x:c>
      <x:c r="E48" s="15" t="str">
        <x:v>RIN DELANTERO 3.5 X 13 NEGRO C/ NARANJA TAMBOR 13 IT DS-150 22-24</x:v>
      </x:c>
      <x:c r="F48" s="21" t="n">
        <x:v>1</x:v>
      </x:c>
      <x:c r="G48" s="21" t="n">
        <x:v>1</x:v>
      </x:c>
      <x:c r="H48" s="21" t="n">
        <x:f>F48-G48</x:f>
        <x:v>0</x:v>
      </x:c>
      <x:c r="I48" s="25" t="str">
        <x:v>03</x:v>
      </x:c>
      <x:c r="J48" s="22" t="n">
        <x:v>2</x:v>
      </x:c>
      <x:c r="K48" s="15" t="str"/>
    </x:row>
    <x:row r="49" ht="44" customHeight="1">
      <x:c r="A49" s="14" t="str">
        <x:v>A</x:v>
      </x:c>
      <x:c r="B49" s="14" t="str">
        <x:v>700</x:v>
      </x:c>
      <x:c r="C49" s="14" t="str">
        <x:v>56</x:v>
      </x:c>
      <x:c r="D49" s="14" t="str">
        <x:v>ASI-040</x:v>
      </x:c>
      <x:c r="E49" s="15" t="str">
        <x:v>ASIENTO PILOTO NEGRO VN NITROX-200 20-23/VN NITROX-250 20-23/VN NITROX-250T3 24/VN NITROX-300T3 24</x:v>
      </x:c>
      <x:c r="F49" s="21" t="n">
        <x:v>10</x:v>
      </x:c>
      <x:c r="G49" s="21" t="n">
        <x:v>10</x:v>
      </x:c>
      <x:c r="H49" s="21" t="n">
        <x:f>F49-G49</x:f>
        <x:v>0</x:v>
      </x:c>
      <x:c r="I49" s="25" t="str">
        <x:v>07</x:v>
      </x:c>
      <x:c r="J49" s="22" t="n">
        <x:v>7</x:v>
      </x:c>
      <x:c r="K49" s="15" t="str"/>
    </x:row>
    <x:row r="50" ht="44" customHeight="1">
      <x:c r="A50" s="14" t="str">
        <x:v>A</x:v>
      </x:c>
      <x:c r="B50" s="14" t="str">
        <x:v>700</x:v>
      </x:c>
      <x:c r="C50" s="14" t="str">
        <x:v>57-60</x:v>
      </x:c>
      <x:c r="D50" s="14" t="str">
        <x:v>SAL-X002</x:v>
      </x:c>
      <x:c r="E50" s="15" t="str">
        <x:v>SALPICADERA NEGRA TRASERA UNIVERSAL C/SOPORTE</x:v>
      </x:c>
      <x:c r="F50" s="21" t="n">
        <x:v>80</x:v>
      </x:c>
      <x:c r="G50" s="21" t="n">
        <x:v>80</x:v>
      </x:c>
      <x:c r="H50" s="21" t="n">
        <x:f>F50-G50</x:f>
        <x:v>0</x:v>
      </x:c>
      <x:c r="I50" s="25" t="str">
        <x:v>07</x:v>
      </x:c>
      <x:c r="J50" s="22" t="n">
        <x:v>7</x:v>
      </x:c>
      <x:c r="K50" s="15" t="str"/>
    </x:row>
    <x:row r="51" ht="44" customHeight="1">
      <x:c r="A51" s="14" t="str">
        <x:v>A</x:v>
      </x:c>
      <x:c r="B51" s="14" t="str">
        <x:v>700</x:v>
      </x:c>
      <x:c r="C51" s="14" t="str">
        <x:v>61</x:v>
      </x:c>
      <x:c r="D51" s="14" t="str">
        <x:v>CLJ-021</x:v>
      </x:c>
      <x:c r="E51" s="15" t="str">
        <x:v>CUBIERTAS LATERALES DER/IZQ AZUL BLANCO IT 125-Z 19-22</x:v>
      </x:c>
      <x:c r="F51" s="21" t="n">
        <x:v>7</x:v>
      </x:c>
      <x:c r="G51" s="21" t="n">
        <x:v>7</x:v>
      </x:c>
      <x:c r="H51" s="21" t="n">
        <x:f>F51-G51</x:f>
        <x:v>0</x:v>
      </x:c>
      <x:c r="I51" s="25" t="str">
        <x:v>07</x:v>
      </x:c>
      <x:c r="J51" s="22" t="n">
        <x:v>7</x:v>
      </x:c>
      <x:c r="K51" s="15" t="str"/>
    </x:row>
    <x:row r="52" ht="44" customHeight="1">
      <x:c r="A52" s="14" t="str">
        <x:v>A</x:v>
      </x:c>
      <x:c r="B52" s="14" t="str">
        <x:v>700</x:v>
      </x:c>
      <x:c r="C52" s="14" t="str">
        <x:v>62</x:v>
      </x:c>
      <x:c r="D52" s="14" t="str">
        <x:v>SAD-065NR</x:v>
      </x:c>
      <x:c r="E52" s="15" t="str">
        <x:v>SALPICADERA DELANTERA NEGRA/ROJO DT-200 SPORT 17-18 / FT-250 TS 16-18</x:v>
      </x:c>
      <x:c r="F52" s="21" t="n">
        <x:v>10</x:v>
      </x:c>
      <x:c r="G52" s="21" t="n">
        <x:v>10</x:v>
      </x:c>
      <x:c r="H52" s="21" t="n">
        <x:f>F52-G52</x:f>
        <x:v>0</x:v>
      </x:c>
      <x:c r="I52" s="25" t="str">
        <x:v>07</x:v>
      </x:c>
      <x:c r="J52" s="22" t="n">
        <x:v>7</x:v>
      </x:c>
      <x:c r="K52" s="15" t="str"/>
    </x:row>
    <x:row r="53" ht="44" customHeight="1">
      <x:c r="A53" s="14" t="str">
        <x:v>A</x:v>
      </x:c>
      <x:c r="B53" s="14" t="str">
        <x:v>700</x:v>
      </x:c>
      <x:c r="C53" s="14" t="str">
        <x:v>62</x:v>
      </x:c>
      <x:c r="D53" s="14" t="str">
        <x:v>SAD-104</x:v>
      </x:c>
      <x:c r="E53" s="15" t="str">
        <x:v>SALPICADERA DELANTERA AZUL NEGRA IT D-150 22-24</x:v>
      </x:c>
      <x:c r="F53" s="21" t="n">
        <x:v>6</x:v>
      </x:c>
      <x:c r="G53" s="21" t="n">
        <x:v>6</x:v>
      </x:c>
      <x:c r="H53" s="21" t="n">
        <x:f>F53-G53</x:f>
        <x:v>0</x:v>
      </x:c>
      <x:c r="I53" s="25" t="str">
        <x:v>07</x:v>
      </x:c>
      <x:c r="J53" s="22" t="n">
        <x:v>7</x:v>
      </x:c>
      <x:c r="K53" s="15" t="str"/>
    </x:row>
    <x:row r="54" ht="44" customHeight="1">
      <x:c r="A54" s="14" t="str">
        <x:v>A</x:v>
      </x:c>
      <x:c r="B54" s="14" t="str">
        <x:v>700</x:v>
      </x:c>
      <x:c r="C54" s="14" t="str">
        <x:v>63</x:v>
      </x:c>
      <x:c r="D54" s="14" t="str">
        <x:v>SAD-031</x:v>
      </x:c>
      <x:c r="E54" s="15" t="str">
        <x:v>SALPICADERA DELANTERA NEGRO/ VERDE WS-175 SPORT 18-21</x:v>
      </x:c>
      <x:c r="F54" s="21" t="n">
        <x:v>4</x:v>
      </x:c>
      <x:c r="G54" s="21" t="n">
        <x:v>4</x:v>
      </x:c>
      <x:c r="H54" s="21" t="n">
        <x:f>F54-G54</x:f>
        <x:v>0</x:v>
      </x:c>
      <x:c r="I54" s="25" t="str">
        <x:v>07</x:v>
      </x:c>
      <x:c r="J54" s="22" t="n">
        <x:v>7</x:v>
      </x:c>
      <x:c r="K54" s="15" t="str"/>
    </x:row>
    <x:row r="55" ht="44" customHeight="1">
      <x:c r="A55" s="14" t="str">
        <x:v>A</x:v>
      </x:c>
      <x:c r="B55" s="14" t="str">
        <x:v>700</x:v>
      </x:c>
      <x:c r="C55" s="14" t="str">
        <x:v>63</x:v>
      </x:c>
      <x:c r="D55" s="14" t="str">
        <x:v>SAD-035NA</x:v>
      </x:c>
      <x:c r="E55" s="15" t="str">
        <x:v>SALPICADERA DELANTERA NEGRO BRILLANTE / AMARILLO WS-150 SPORT 17-19</x:v>
      </x:c>
      <x:c r="F55" s="21" t="n">
        <x:v>1</x:v>
      </x:c>
      <x:c r="G55" s="21" t="n">
        <x:v>1</x:v>
      </x:c>
      <x:c r="H55" s="21" t="n">
        <x:f>F55-G55</x:f>
        <x:v>0</x:v>
      </x:c>
      <x:c r="I55" s="25" t="str">
        <x:v>07</x:v>
      </x:c>
      <x:c r="J55" s="22" t="n">
        <x:v>7</x:v>
      </x:c>
      <x:c r="K55" s="15" t="str"/>
    </x:row>
    <x:row r="56" ht="44" customHeight="1">
      <x:c r="A56" s="14" t="str">
        <x:v>A</x:v>
      </x:c>
      <x:c r="B56" s="14" t="str">
        <x:v>700</x:v>
      </x:c>
      <x:c r="C56" s="14" t="str">
        <x:v>63</x:v>
      </x:c>
      <x:c r="D56" s="14" t="str">
        <x:v>SAD-035NR</x:v>
      </x:c>
      <x:c r="E56" s="15" t="str">
        <x:v>SALPICADERA DELANTERA NEGRO BRILLANTE / ROJO WS-150 SPORT 17-19</x:v>
      </x:c>
      <x:c r="F56" s="21" t="n">
        <x:v>2</x:v>
      </x:c>
      <x:c r="G56" s="21" t="n">
        <x:v>2</x:v>
      </x:c>
      <x:c r="H56" s="21" t="n">
        <x:f>F56-G56</x:f>
        <x:v>0</x:v>
      </x:c>
      <x:c r="I56" s="25" t="str">
        <x:v>07</x:v>
      </x:c>
      <x:c r="J56" s="22" t="n">
        <x:v>7</x:v>
      </x:c>
      <x:c r="K56" s="15" t="str"/>
    </x:row>
    <x:row r="57" ht="44" customHeight="1">
      <x:c r="A57" s="14" t="str">
        <x:v>A</x:v>
      </x:c>
      <x:c r="B57" s="14" t="str">
        <x:v>700</x:v>
      </x:c>
      <x:c r="C57" s="14" t="str">
        <x:v>63</x:v>
      </x:c>
      <x:c r="D57" s="14" t="str">
        <x:v>SAD-075AZ</x:v>
      </x:c>
      <x:c r="E57" s="15" t="str">
        <x:v>SALPICADERA DE LANTERA AZUL BRILLANTE IT D-125LT 21-22</x:v>
      </x:c>
      <x:c r="F57" s="21" t="n">
        <x:v>3</x:v>
      </x:c>
      <x:c r="G57" s="21" t="n">
        <x:v>3</x:v>
      </x:c>
      <x:c r="H57" s="21" t="n">
        <x:f>F57-G57</x:f>
        <x:v>0</x:v>
      </x:c>
      <x:c r="I57" s="25" t="str">
        <x:v>07</x:v>
      </x:c>
      <x:c r="J57" s="22" t="n">
        <x:v>7</x:v>
      </x:c>
      <x:c r="K57" s="15" t="str"/>
    </x:row>
    <x:row r="58" ht="44" customHeight="1">
      <x:c r="A58" s="14" t="str">
        <x:v>A</x:v>
      </x:c>
      <x:c r="B58" s="14" t="str">
        <x:v>700</x:v>
      </x:c>
      <x:c r="C58" s="14" t="str">
        <x:v>63</x:v>
      </x:c>
      <x:c r="D58" s="14" t="str">
        <x:v>SAD-095</x:v>
      </x:c>
      <x:c r="E58" s="15" t="str">
        <x:v>SALPICADERA  DELANTERA ROJO CON NEGRO IT VORT-X 200 18-20</x:v>
      </x:c>
      <x:c r="F58" s="21" t="n">
        <x:v>1</x:v>
      </x:c>
      <x:c r="G58" s="21" t="n">
        <x:v>1</x:v>
      </x:c>
      <x:c r="H58" s="21" t="n">
        <x:f>F58-G58</x:f>
        <x:v>0</x:v>
      </x:c>
      <x:c r="I58" s="25" t="str">
        <x:v>07</x:v>
      </x:c>
      <x:c r="J58" s="22" t="n">
        <x:v>7</x:v>
      </x:c>
      <x:c r="K58" s="15" t="str"/>
    </x:row>
    <x:row r="59" ht="44" customHeight="1">
      <x:c r="A59" s="14" t="str">
        <x:v>A</x:v>
      </x:c>
      <x:c r="B59" s="14" t="str">
        <x:v>700</x:v>
      </x:c>
      <x:c r="C59" s="14" t="str">
        <x:v>63</x:v>
      </x:c>
      <x:c r="D59" s="14" t="str">
        <x:v>SAD-116</x:v>
      </x:c>
      <x:c r="E59" s="15" t="str">
        <x:v>SALPICADERA DELANTERA ROJO/NEGRO VN CYCLONE 200 20-23</x:v>
      </x:c>
      <x:c r="F59" s="21" t="n">
        <x:v>2</x:v>
      </x:c>
      <x:c r="G59" s="21" t="n">
        <x:v>2</x:v>
      </x:c>
      <x:c r="H59" s="21" t="n">
        <x:f>F59-G59</x:f>
        <x:v>0</x:v>
      </x:c>
      <x:c r="I59" s="25" t="str">
        <x:v>07</x:v>
      </x:c>
      <x:c r="J59" s="22" t="n">
        <x:v>7</x:v>
      </x:c>
      <x:c r="K59" s="15" t="str"/>
    </x:row>
    <x:row r="60" ht="44" customHeight="1">
      <x:c r="A60" s="14" t="str">
        <x:v>A</x:v>
      </x:c>
      <x:c r="B60" s="14" t="str">
        <x:v>700</x:v>
      </x:c>
      <x:c r="C60" s="14" t="str">
        <x:v>63</x:v>
      </x:c>
      <x:c r="D60" s="14" t="str">
        <x:v>SAD-121</x:v>
      </x:c>
      <x:c r="E60" s="15" t="str">
        <x:v>SALPICADERA DELANTERA NEGRA/VERDE IT W-150 24-25</x:v>
      </x:c>
      <x:c r="F60" s="21" t="n">
        <x:v>1</x:v>
      </x:c>
      <x:c r="G60" s="21" t="n">
        <x:v>1</x:v>
      </x:c>
      <x:c r="H60" s="21" t="n">
        <x:f>F60-G60</x:f>
        <x:v>0</x:v>
      </x:c>
      <x:c r="I60" s="25" t="str">
        <x:v>07</x:v>
      </x:c>
      <x:c r="J60" s="22" t="n">
        <x:v>7</x:v>
      </x:c>
      <x:c r="K60" s="15" t="str"/>
    </x:row>
    <x:row r="61" ht="44" customHeight="1">
      <x:c r="A61" s="14" t="str">
        <x:v>A</x:v>
      </x:c>
      <x:c r="B61" s="14" t="str">
        <x:v>700</x:v>
      </x:c>
      <x:c r="C61" s="14" t="str">
        <x:v>64</x:v>
      </x:c>
      <x:c r="D61" s="14" t="str">
        <x:v>SAD-109</x:v>
      </x:c>
      <x:c r="E61" s="15" t="str">
        <x:v>SALPICADERA AZUL/ NEGRO COMPLETA DELANTERA IT AT-110 20-22</x:v>
      </x:c>
      <x:c r="F61" s="21" t="n">
        <x:v>12</x:v>
      </x:c>
      <x:c r="G61" s="21" t="n">
        <x:v>12</x:v>
      </x:c>
      <x:c r="H61" s="21" t="n">
        <x:f>F61-G61</x:f>
        <x:v>0</x:v>
      </x:c>
      <x:c r="I61" s="25" t="str">
        <x:v>07</x:v>
      </x:c>
      <x:c r="J61" s="22" t="n">
        <x:v>7</x:v>
      </x:c>
      <x:c r="K61" s="15" t="str"/>
    </x:row>
    <x:row r="62" ht="44" customHeight="1">
      <x:c r="A62" s="14" t="str">
        <x:v>A</x:v>
      </x:c>
      <x:c r="B62" s="14" t="str">
        <x:v>700</x:v>
      </x:c>
      <x:c r="C62" s="14" t="str">
        <x:v>65</x:v>
      </x:c>
      <x:c r="D62" s="14" t="str">
        <x:v>CFA-025</x:v>
      </x:c>
      <x:c r="E62" s="15" t="str">
        <x:v>CUBIERTA CENTRAL DE VENTILACIÓN IT 250-Z 19-22</x:v>
      </x:c>
      <x:c r="F62" s="21" t="n">
        <x:v>20</x:v>
      </x:c>
      <x:c r="G62" s="21" t="n">
        <x:v>20</x:v>
      </x:c>
      <x:c r="H62" s="21" t="n">
        <x:f>F62-G62</x:f>
        <x:v>0</x:v>
      </x:c>
      <x:c r="I62" s="25" t="str">
        <x:v>07</x:v>
      </x:c>
      <x:c r="J62" s="22" t="n">
        <x:v>7</x:v>
      </x:c>
      <x:c r="K62" s="15" t="str"/>
    </x:row>
    <x:row r="63" ht="44" customHeight="1">
      <x:c r="A63" s="14" t="str">
        <x:v>A</x:v>
      </x:c>
      <x:c r="B63" s="14" t="str">
        <x:v>700</x:v>
      </x:c>
      <x:c r="C63" s="14" t="str">
        <x:v>65</x:v>
      </x:c>
      <x:c r="D63" s="14" t="str">
        <x:v>SAD-036AN</x:v>
      </x:c>
      <x:c r="E63" s="15" t="str">
        <x:v>SALPICADERA DELANTERA AMARILLO BRILLANTE / NEGRO FT-200 TS</x:v>
      </x:c>
      <x:c r="F63" s="21" t="n">
        <x:v>4</x:v>
      </x:c>
      <x:c r="G63" s="21" t="n">
        <x:v>4</x:v>
      </x:c>
      <x:c r="H63" s="21" t="n">
        <x:f>F63-G63</x:f>
        <x:v>0</x:v>
      </x:c>
      <x:c r="I63" s="25" t="str">
        <x:v>07</x:v>
      </x:c>
      <x:c r="J63" s="22" t="n">
        <x:v>7</x:v>
      </x:c>
      <x:c r="K63" s="15" t="str"/>
    </x:row>
    <x:row r="64" ht="44" customHeight="1">
      <x:c r="A64" s="14" t="str">
        <x:v>A</x:v>
      </x:c>
      <x:c r="B64" s="14" t="str">
        <x:v>700</x:v>
      </x:c>
      <x:c r="C64" s="14" t="str">
        <x:v>65</x:v>
      </x:c>
      <x:c r="D64" s="14" t="str">
        <x:v>SAL-X004</x:v>
      </x:c>
      <x:c r="E64" s="15" t="str">
        <x:v>SALPICADERA TRASERA GRAFITO UNIVERSAL C/REFLEJANTES</x:v>
      </x:c>
      <x:c r="F64" s="21" t="n">
        <x:v>11</x:v>
      </x:c>
      <x:c r="G64" s="21" t="n">
        <x:v>11</x:v>
      </x:c>
      <x:c r="H64" s="21" t="n">
        <x:f>F64-G64</x:f>
        <x:v>0</x:v>
      </x:c>
      <x:c r="I64" s="25" t="str">
        <x:v>07</x:v>
      </x:c>
      <x:c r="J64" s="22" t="n">
        <x:v>7</x:v>
      </x:c>
      <x:c r="K64" s="15" t="str"/>
    </x:row>
    <x:row r="65" ht="44" customHeight="1">
      <x:c r="A65" s="14" t="str">
        <x:v>A</x:v>
      </x:c>
      <x:c r="B65" s="14" t="str">
        <x:v>200</x:v>
      </x:c>
      <x:c r="C65" s="14" t="str">
        <x:v>66-67</x:v>
      </x:c>
      <x:c r="D65" s="14" t="str">
        <x:v>RIN-113</x:v>
      </x:c>
      <x:c r="E65" s="15" t="str">
        <x:v>RIN TRASERO 8 X 10 NEGRO 10 ATV-250 18-21</x:v>
      </x:c>
      <x:c r="F65" s="21" t="n">
        <x:v>8</x:v>
      </x:c>
      <x:c r="G65" s="21" t="n">
        <x:v>8</x:v>
      </x:c>
      <x:c r="H65" s="21" t="n">
        <x:f>F65-G65</x:f>
        <x:v>0</x:v>
      </x:c>
      <x:c r="I65" s="25" t="str">
        <x:v>03</x:v>
      </x:c>
      <x:c r="J65" s="22" t="n">
        <x:v>2</x:v>
      </x:c>
      <x:c r="K65" s="15" t="str"/>
    </x:row>
    <x:row r="66" ht="44" customHeight="1">
      <x:c r="A66" s="14" t="str">
        <x:v>A</x:v>
      </x:c>
      <x:c r="B66" s="14" t="str">
        <x:v>200</x:v>
      </x:c>
      <x:c r="C66" s="14" t="str">
        <x:v>68-74</x:v>
      </x:c>
      <x:c r="D66" s="14" t="str">
        <x:v>RIN-031</x:v>
      </x:c>
      <x:c r="E66" s="15" t="str">
        <x:v>RIN TRASERO 2.15 X 18 NEGRO MATE DT-200 SPORT 17-20 / FT-180 13-18 / FT-200 14-15</x:v>
      </x:c>
      <x:c r="F66" s="21" t="n">
        <x:v>28</x:v>
      </x:c>
      <x:c r="G66" s="21" t="n">
        <x:v>28</x:v>
      </x:c>
      <x:c r="H66" s="21" t="n">
        <x:f>F66-G66</x:f>
        <x:v>0</x:v>
      </x:c>
      <x:c r="I66" s="25" t="str">
        <x:v>03</x:v>
      </x:c>
      <x:c r="J66" s="22" t="n">
        <x:v>2</x:v>
      </x:c>
      <x:c r="K66" s="15" t="str"/>
    </x:row>
    <x:row r="67" ht="44" customHeight="1">
      <x:c r="A67" s="14" t="str">
        <x:v>A</x:v>
      </x:c>
      <x:c r="B67" s="14" t="str">
        <x:v>200</x:v>
      </x:c>
      <x:c r="C67" s="14" t="str">
        <x:v>75</x:v>
      </x:c>
      <x:c r="D67" s="14" t="str">
        <x:v>RIN-180</x:v>
      </x:c>
      <x:c r="E67" s="15" t="str">
        <x:v>RIN DELANTERO 2.75 X 12 DORADO 12 IT VITALIA-150 24</x:v>
      </x:c>
      <x:c r="F67" s="21" t="n">
        <x:v>1</x:v>
      </x:c>
      <x:c r="G67" s="21" t="n">
        <x:v>1</x:v>
      </x:c>
      <x:c r="H67" s="21" t="n">
        <x:f>F67-G67</x:f>
        <x:v>0</x:v>
      </x:c>
      <x:c r="I67" s="25" t="str">
        <x:v>03</x:v>
      </x:c>
      <x:c r="J67" s="22" t="n">
        <x:v>2</x:v>
      </x:c>
      <x:c r="K67" s="15" t="str">
        <x:v>Caja 75 legible en la nueva foto; corrige lectura previa 55.</x:v>
      </x:c>
    </x:row>
    <x:row r="68" ht="76" customHeight="1">
      <x:c r="A68" s="17" t="str">
        <x:v>A</x:v>
      </x:c>
      <x:c r="B68" s="17" t="str">
        <x:v>700</x:v>
      </x:c>
      <x:c r="C68" s="17" t="str">
        <x:v>Por confirmar</x:v>
      </x:c>
      <x:c r="D68" s="17" t="str">
        <x:v>CUV-016</x:v>
      </x:c>
      <x:c r="E68" s="18" t="str">
        <x:v>CUBIERTA CENTRAL VENTILACION MOTOR VN CYCLONE-200 20-23/VN CYCLONE-210 24/VN FALKON-200 21/VN FALKON-250 21-23/VN SCREAMER-250SP 22-23/VN STORM-250 21-24/VN TORNADO-250 20-23/VN STORM-300 24</x:v>
      </x:c>
      <x:c r="F68" s="23" t="n">
        <x:v>8</x:v>
      </x:c>
      <x:c r="G68" s="23" t="n">
        <x:v>8</x:v>
      </x:c>
      <x:c r="H68" s="23" t="n">
        <x:f>F68-G68</x:f>
        <x:v>0</x:v>
      </x:c>
      <x:c r="I68" s="26" t="str">
        <x:v>07</x:v>
      </x:c>
      <x:c r="J68" s="24" t="n">
        <x:v>7</x:v>
      </x:c>
      <x:c r="K68" s="18" t="str">
        <x:v>La anotación divide el contenido entre cajas, pero los números y cantidades no son inequívocos. Conserva 8 unidades documentales.</x:v>
      </x:c>
    </x:row>
    <x:row r="69" ht="76" customHeight="1">
      <x:c r="A69" s="17" t="str">
        <x:v>A</x:v>
      </x:c>
      <x:c r="B69" s="17" t="str">
        <x:v>100</x:v>
      </x:c>
      <x:c r="C69" s="17" t="str">
        <x:v>Por confirmar</x:v>
      </x:c>
      <x:c r="D69" s="17" t="str">
        <x:v>FAR-152</x:v>
      </x:c>
      <x:c r="E69" s="18" t="str">
        <x:v>FARO PRINCIPAL 12 Vcc IT D-150 22-24</x:v>
      </x:c>
      <x:c r="F69" s="23" t="n">
        <x:v>3</x:v>
      </x:c>
      <x:c r="G69" s="23" t="n">
        <x:v>3</x:v>
      </x:c>
      <x:c r="H69" s="23" t="n">
        <x:f>F69-G69</x:f>
        <x:v>0</x:v>
      </x:c>
      <x:c r="I69" s="26" t="str">
        <x:v>04</x:v>
      </x:c>
      <x:c r="J69" s="24" t="n">
        <x:v>1</x:v>
      </x:c>
      <x:c r="K69" s="18" t="str">
        <x:v>Anotación sobreescrita de cajas y piezas: no se confirma la lectura. Conserva 3 unidades documentales.</x:v>
      </x:c>
    </x:row>
    <x:row r="70" ht="76" customHeight="1">
      <x:c r="A70" s="17" t="str">
        <x:v>A</x:v>
      </x:c>
      <x:c r="B70" s="17" t="str">
        <x:v>100</x:v>
      </x:c>
      <x:c r="C70" s="17" t="str">
        <x:v>Por confirmar</x:v>
      </x:c>
      <x:c r="D70" s="17" t="str">
        <x:v>HOR-004</x:v>
      </x:c>
      <x:c r="E70" s="18" t="str">
        <x:v>HORQUILLA TRASERA FORZA-125 05-12/ FT-125CL 12-16/ FT-125SP 12-15/ FT-125TS 16-20/ FT-150DEL 15-18/ FT-150GR 18-20/ FT</x:v>
      </x:c>
      <x:c r="F70" s="23" t="n">
        <x:v>10</x:v>
      </x:c>
      <x:c r="G70" s="23" t="n">
        <x:v>10</x:v>
      </x:c>
      <x:c r="H70" s="23" t="n">
        <x:f>F70-G70</x:f>
        <x:v>0</x:v>
      </x:c>
      <x:c r="I70" s="26" t="str">
        <x:v>04</x:v>
      </x:c>
      <x:c r="J70" s="24" t="n">
        <x:v>1</x:v>
      </x:c>
      <x:c r="K70" s="18" t="str">
        <x:v>Primer número de caja sobreescrito junto a 29; falta confirmar la ubicación completa. Conserva 10 unidades documentales.</x:v>
      </x:c>
    </x:row>
    <x:row r="71" ht="76" customHeight="1">
      <x:c r="A71" s="17" t="str">
        <x:v>A</x:v>
      </x:c>
      <x:c r="B71" s="17" t="str">
        <x:v>700</x:v>
      </x:c>
      <x:c r="C71" s="17" t="str">
        <x:v>Por confirmar</x:v>
      </x:c>
      <x:c r="D71" s="17" t="str">
        <x:v>PAR-078</x:v>
      </x:c>
      <x:c r="E71" s="18" t="str">
        <x:v>PARRILLA-SLIDER CUBRE PIERNAS PLATA IT DM-250 22-23</x:v>
      </x:c>
      <x:c r="F71" s="23" t="n">
        <x:v>2</x:v>
      </x:c>
      <x:c r="G71" s="23" t="n">
        <x:v>2</x:v>
      </x:c>
      <x:c r="H71" s="23" t="n">
        <x:f>F71-G71</x:f>
        <x:v>0</x:v>
      </x:c>
      <x:c r="I71" s="26" t="str">
        <x:v>07</x:v>
      </x:c>
      <x:c r="J71" s="24" t="n">
        <x:v>7</x:v>
      </x:c>
      <x:c r="K71" s="18" t="str">
        <x:v>Número de caja corregido/sobreescrito; falta confirmar la ubicación. Conserva 2 unidades documentales.</x:v>
      </x:c>
    </x:row>
    <x:row r="72" ht="76" customHeight="1">
      <x:c r="A72" s="17" t="str">
        <x:v>A</x:v>
      </x:c>
      <x:c r="B72" s="17" t="str">
        <x:v>700</x:v>
      </x:c>
      <x:c r="C72" s="17" t="str">
        <x:v>Por confirmar</x:v>
      </x:c>
      <x:c r="D72" s="17" t="str">
        <x:v>SAL-X006</x:v>
      </x:c>
      <x:c r="E72" s="18" t="str">
        <x:v>SALPICADERA DELANTERA TIPO FIBRA DE CARBONO IT X150 19-22 /IT WS 175SP 15-21/IT WS150 SP19-22</x:v>
      </x:c>
      <x:c r="F72" s="23" t="n">
        <x:v>11</x:v>
      </x:c>
      <x:c r="G72" s="23" t="n">
        <x:v>11</x:v>
      </x:c>
      <x:c r="H72" s="23" t="n">
        <x:f>F72-G72</x:f>
        <x:v>0</x:v>
      </x:c>
      <x:c r="I72" s="26" t="str">
        <x:v>07</x:v>
      </x:c>
      <x:c r="J72" s="24" t="n">
        <x:v>7</x:v>
      </x:c>
      <x:c r="K72" s="18" t="str">
        <x:v>Anotación de cajas y reparto sobreescrita; no se infiere ubicación ni distribución. Conserva 11 unidades documentales.</x:v>
      </x:c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1:K1"/>
    <x:mergeCell ref="A3:K3"/>
    <x:mergeCell ref="A4:K4"/>
  </x:mergeCells>
  <x:pageMargins left="0.7" right="0.7" top="0.75" bottom="0.75" header="0.3" footer="0.3"/>
  <x:tableParts count="1">
    <x:tablePart xmlns:r="http://schemas.openxmlformats.org/officeDocument/2006/relationships" r:id="R8da3b6c1445043a4"/>
  </x:tableParts>
</x:worksheet>
</file>