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823093cb8348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o" sheetId="1" r:id="Rc496f8536a8146ee"/>
    <x:sheet xmlns:r="http://schemas.openxmlformats.org/officeDocument/2006/relationships" name="Renglones" sheetId="2" r:id="R3f4bec49cfef42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.0000"/>
  </x:numFmts>
  <x:fonts count="4">
    <x:font>
      <x:sz val="11"/>
      <x:name val="Carlito"/>
    </x:font>
    <x:font>
      <x:sz val="10"/>
      <x:name val="Arial"/>
    </x:font>
    <x:font>
      <x:b/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84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9ef29aaba4de2" /><Relationship Type="http://schemas.openxmlformats.org/officeDocument/2006/relationships/theme" Target="/xl/theme/theme1.xml" Id="Rdea2f1fa78ba49de" /><Relationship Type="http://schemas.openxmlformats.org/officeDocument/2006/relationships/sharedStrings" Target="/xl/sharedStrings.xml" Id="R656c9f96651d4ad2" /><Relationship Type="http://schemas.openxmlformats.org/officeDocument/2006/relationships/worksheet" Target="/xl/worksheets/sheet1.xml" Id="Rc496f8536a8146ee" /><Relationship Type="http://schemas.openxmlformats.org/officeDocument/2006/relationships/worksheet" Target="/xl/worksheets/sheet2.xml" Id="R3f4bec49cfef42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88" hidden="0" customWidth="1"/>
  </x:cols>
  <x:sheetData>
    <x:row r="1" ht="25" customHeight="1">
      <x:c r="A1" s="3" t="str">
        <x:v>Formato</x:v>
      </x:c>
      <x:c r="B1" s="4" t="str">
        <x:v>FXMOTO-DOC-1</x:v>
      </x:c>
    </x:row>
    <x:row r="2" ht="25" customHeight="1">
      <x:c r="A2" s="3" t="str">
        <x:v>Proveedor</x:v>
      </x:c>
      <x:c r="B2" s="4" t="str">
        <x:v>TMMP / RemoMotos</x:v>
      </x:c>
    </x:row>
    <x:row r="3" ht="25" customHeight="1">
      <x:c r="A3" s="3" t="str">
        <x:v>RFC emisor</x:v>
      </x:c>
      <x:c r="B3" s="4" t="str">
        <x:v>RMO130410UL1</x:v>
      </x:c>
    </x:row>
    <x:row r="4" ht="25" customHeight="1">
      <x:c r="A4" s="3" t="str">
        <x:v>Tipo</x:v>
      </x:c>
      <x:c r="B4" s="4" t="str">
        <x:v>REMISION</x:v>
      </x:c>
    </x:row>
    <x:row r="5" ht="25" customHeight="1">
      <x:c r="A5" s="3" t="str">
        <x:v>Folio</x:v>
      </x:c>
      <x:c r="B5" s="4" t="str">
        <x:v>R5733</x:v>
      </x:c>
    </x:row>
    <x:row r="6" ht="25" customHeight="1">
      <x:c r="A6" s="3" t="str">
        <x:v>Serie</x:v>
      </x:c>
      <x:c r="B6" s="4"/>
    </x:row>
    <x:row r="7" ht="25" customHeight="1">
      <x:c r="A7" s="3" t="str">
        <x:v>UUID</x:v>
      </x:c>
      <x:c r="B7" s="4"/>
    </x:row>
    <x:row r="8" ht="25" customHeight="1">
      <x:c r="A8" s="3" t="str">
        <x:v>Fecha del documento</x:v>
      </x:c>
      <x:c r="B8" s="5" t="d">
        <x:v>2026-10-24T00:00:00.000Z</x:v>
      </x:c>
    </x:row>
    <x:row r="9" ht="25" customHeight="1">
      <x:c r="A9" s="3" t="str">
        <x:v>Bodega</x:v>
      </x:c>
      <x:c r="B9" s="4" t="str">
        <x:v>CUERNAVACA</x:v>
      </x:c>
    </x:row>
    <x:row r="10" ht="25" customHeight="1">
      <x:c r="A10" s="3" t="str">
        <x:v>Pedido FXMoto</x:v>
      </x:c>
      <x:c r="B10" s="4" t="n">
        <x:v>55</x:v>
      </x:c>
    </x:row>
    <x:row r="11" ht="25" customHeight="1">
      <x:c r="A11" s="3" t="str">
        <x:v>Marca de pedido</x:v>
      </x:c>
      <x:c r="B11" s="4" t="str">
        <x:v>TMMP</x:v>
      </x:c>
    </x:row>
    <x:row r="12" ht="25" customHeight="1">
      <x:c r="A12" s="3" t="str">
        <x:v>Pedido o cotización del proveedor</x:v>
      </x:c>
      <x:c r="B12" s="4" t="str">
        <x:v>3374265</x:v>
      </x:c>
    </x:row>
    <x:row r="13" ht="25" customHeight="1">
      <x:c r="A13" s="3" t="str">
        <x:v>Documento relacionado</x:v>
      </x:c>
      <x:c r="B13" s="4" t="str">
        <x:v>Llegada L26102815295521</x:v>
      </x:c>
    </x:row>
    <x:row r="14" ht="25" customHeight="1">
      <x:c r="A14" s="3" t="str">
        <x:v>Moneda</x:v>
      </x:c>
      <x:c r="B14" s="4" t="str">
        <x:v>MXN</x:v>
      </x:c>
    </x:row>
    <x:row r="15" ht="25" customHeight="1">
      <x:c r="A15" s="3" t="str">
        <x:v>Subtotal</x:v>
      </x:c>
      <x:c r="B15" s="6" t="n">
        <x:v>6257.82</x:v>
      </x:c>
    </x:row>
    <x:row r="16" ht="25" customHeight="1">
      <x:c r="A16" s="3" t="str">
        <x:v>Descuento</x:v>
      </x:c>
      <x:c r="B16" s="6"/>
    </x:row>
    <x:row r="17" ht="25" customHeight="1">
      <x:c r="A17" s="3" t="str">
        <x:v>IVA</x:v>
      </x:c>
      <x:c r="B17" s="6" t="n">
        <x:v>1001.25</x:v>
      </x:c>
    </x:row>
    <x:row r="18" ht="25" customHeight="1">
      <x:c r="A18" s="3" t="str">
        <x:v>Total</x:v>
      </x:c>
      <x:c r="B18" s="6" t="n">
        <x:v>7259.07</x:v>
      </x:c>
    </x:row>
    <x:row r="19" ht="25" customHeight="1">
      <x:c r="A19" s="3" t="str">
        <x:v>Fecha de llegada</x:v>
      </x:c>
      <x:c r="B19" s="5" t="d">
        <x:v>2026-10-28T00:00:00.000Z</x:v>
      </x:c>
    </x:row>
    <x:row r="20" ht="25" customHeight="1">
      <x:c r="A20" s="3" t="str">
        <x:v>Bultos esperados</x:v>
      </x:c>
      <x:c r="B20" s="4"/>
    </x:row>
    <x:row r="21" ht="25" customHeight="1">
      <x:c r="A21" s="3" t="str">
        <x:v>Bultos llegados</x:v>
      </x:c>
      <x:c r="B21" s="4"/>
    </x:row>
    <x:row r="22" ht="25" customHeight="1">
      <x:c r="A22" s="3" t="str">
        <x:v>Recibió</x:v>
      </x:c>
      <x:c r="B22" s="4" t="str">
        <x:v>Yuridia</x:v>
      </x:c>
    </x:row>
    <x:row r="23" ht="150" customHeight="1">
      <x:c r="A23" s="3" t="str">
        <x:v>Observaciones de recepción</x:v>
      </x:c>
      <x:c r="B23" s="4" t="str">
        <x:v>Remisión, CFDI pendiente. 11 cajas compartidas entre R5732 y R5733; no sumar 11 por documento. Cantidades documentales; contenido por código sin conteo físico individual. Importes de renglón calculados a 4 decimales desde precio y descuento. Subtotal/IVA recalculados; R5733 tiene el pie numérico recortado. Diferencia contra cotización explicada por redondeo. Sin asignación Full. Aclaración pendiente: REM3513, REM3465 y REM1964 ya cotizados, no pedidos en el original55.</x:v>
      </x:c>
    </x:row>
    <x:row r="24" ht="65" customHeight="1">
      <x:c r="A24" s="3" t="str">
        <x:v>Origen</x:v>
      </x:c>
      <x:c r="B24" s="4" t="str">
        <x:v>Fotos de la llegada L26102815295521, papeles 2, 3 y 4. https://envios.motofix.com.mx/remomotos-llegada-cvc-28oct-67be9943.html</x:v>
      </x:c>
    </x:row>
    <x:row r="25" ht="25" customHeight="1">
      <x:c r="A25" s="3" t="str">
        <x:v>Preparó</x:v>
      </x:c>
      <x:c r="B25" s="4" t="str">
        <x:v>Codex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6" hidden="0" customWidth="1"/>
    <x:col min="3" max="3" width="70" hidden="0" customWidth="1"/>
    <x:col min="4" max="4" width="12" hidden="0" customWidth="1"/>
    <x:col min="5" max="5" width="12" hidden="0" customWidth="1"/>
    <x:col min="6" max="6" width="18" hidden="0" customWidth="1"/>
    <x:col min="7" max="7" width="16" hidden="0" customWidth="1"/>
    <x:col min="8" max="8" width="19" hidden="0" customWidth="1"/>
  </x:cols>
  <x:sheetData>
    <x:row r="1" ht="38" customHeight="1">
      <x:c r="A1" s="9" t="str">
        <x:v>Renglón</x:v>
      </x:c>
      <x:c r="B1" s="9" t="str">
        <x:v>Código</x:v>
      </x:c>
      <x:c r="C1" s="9" t="str">
        <x:v>Descripción</x:v>
      </x:c>
      <x:c r="D1" s="9" t="str">
        <x:v>Cantidad</x:v>
      </x:c>
      <x:c r="E1" s="9" t="str">
        <x:v>Unidad</x:v>
      </x:c>
      <x:c r="F1" s="9" t="str">
        <x:v>Precio unitario</x:v>
      </x:c>
      <x:c r="G1" s="9" t="str">
        <x:v>% Descuento</x:v>
      </x:c>
      <x:c r="H1" s="9" t="str">
        <x:v>Importe</x:v>
      </x:c>
    </x:row>
    <x:row r="2" ht="46" customHeight="1">
      <x:c r="A2" s="2" t="n">
        <x:v>1</x:v>
      </x:c>
      <x:c r="B2" s="2" t="str">
        <x:v>REM1768</x:v>
      </x:c>
      <x:c r="C2" s="4" t="str">
        <x:v>STOP CON LUZ DE DIRECCIONAL - EN AMBAR, STOP EN ROJO Y PLACA EN BLANCO UNIVERSAL (PLASTICO</x:v>
      </x:c>
      <x:c r="D2" s="2" t="n">
        <x:v>2</x:v>
      </x:c>
      <x:c r="E2" s="2" t="str">
        <x:v>PIEZA</x:v>
      </x:c>
      <x:c r="F2" s="10" t="n">
        <x:v>93.1</x:v>
      </x:c>
      <x:c r="G2" s="2" t="n">
        <x:v>27</x:v>
      </x:c>
      <x:c r="H2" s="11" t="n">
        <x:f>ROUND(D2*F2*(1-G2/100),4)</x:f>
        <x:v>135.926</x:v>
      </x:c>
    </x:row>
    <x:row r="3" ht="46" customHeight="1">
      <x:c r="A3" s="2" t="n">
        <x:v>2</x:v>
      </x:c>
      <x:c r="B3" s="2" t="str">
        <x:v>REM1949</x:v>
      </x:c>
      <x:c r="C3" s="4" t="str">
        <x:v>CAPUCHON DE BUJIA - PARA FZ - CRB600 - XR250</x:v>
      </x:c>
      <x:c r="D3" s="2" t="n">
        <x:v>1</x:v>
      </x:c>
      <x:c r="E3" s="2" t="str">
        <x:v>PIEZA</x:v>
      </x:c>
      <x:c r="F3" s="10" t="n">
        <x:v>16.38</x:v>
      </x:c>
      <x:c r="G3" s="2" t="n">
        <x:v>27</x:v>
      </x:c>
      <x:c r="H3" s="11" t="n">
        <x:f>ROUND(D3*F3*(1-G3/100),4)</x:f>
        <x:v>11.9574</x:v>
      </x:c>
    </x:row>
    <x:row r="4" ht="46" customHeight="1">
      <x:c r="A4" s="2" t="n">
        <x:v>3</x:v>
      </x:c>
      <x:c r="B4" s="2" t="str">
        <x:v>REM2375</x:v>
      </x:c>
      <x:c r="C4" s="4" t="str">
        <x:v>CLAXON TIPO CUERNO - UNIVERSAL</x:v>
      </x:c>
      <x:c r="D4" s="2" t="n">
        <x:v>3</x:v>
      </x:c>
      <x:c r="E4" s="2" t="str">
        <x:v>PIEZA</x:v>
      </x:c>
      <x:c r="F4" s="10" t="n">
        <x:v>58.62</x:v>
      </x:c>
      <x:c r="G4" s="2" t="n">
        <x:v>27</x:v>
      </x:c>
      <x:c r="H4" s="11" t="n">
        <x:f>ROUND(D4*F4*(1-G4/100),4)</x:f>
        <x:v>128.3778</x:v>
      </x:c>
    </x:row>
    <x:row r="5" ht="46" customHeight="1">
      <x:c r="A5" s="2" t="n">
        <x:v>4</x:v>
      </x:c>
      <x:c r="B5" s="2" t="str">
        <x:v>REM2343</x:v>
      </x:c>
      <x:c r="C5" s="4" t="str">
        <x:v>DIRECCIONALES DE CALAVERA - EN PLATA</x:v>
      </x:c>
      <x:c r="D5" s="2" t="n">
        <x:v>2</x:v>
      </x:c>
      <x:c r="E5" s="2" t="str">
        <x:v>PIEZA</x:v>
      </x:c>
      <x:c r="F5" s="10" t="n">
        <x:v>125.86</x:v>
      </x:c>
      <x:c r="G5" s="2" t="n">
        <x:v>27</x:v>
      </x:c>
      <x:c r="H5" s="11" t="n">
        <x:f>ROUND(D5*F5*(1-G5/100),4)</x:f>
        <x:v>183.7556</x:v>
      </x:c>
    </x:row>
    <x:row r="6" ht="46" customHeight="1">
      <x:c r="A6" s="2" t="n">
        <x:v>5</x:v>
      </x:c>
      <x:c r="B6" s="2" t="str">
        <x:v>REM401</x:v>
      </x:c>
      <x:c r="C6" s="4" t="str">
        <x:v>MANDOS - PARA VENTO TERRA (ADAPTABLES A WS 150) (JGO 2 PZAS)</x:v>
      </x:c>
      <x:c r="D6" s="2" t="n">
        <x:v>5</x:v>
      </x:c>
      <x:c r="E6" s="2" t="str">
        <x:v>PIEZA</x:v>
      </x:c>
      <x:c r="F6" s="10" t="n">
        <x:v>132.76</x:v>
      </x:c>
      <x:c r="G6" s="2" t="n">
        <x:v>27</x:v>
      </x:c>
      <x:c r="H6" s="11" t="n">
        <x:f>ROUND(D6*F6*(1-G6/100),4)</x:f>
        <x:v>484.574</x:v>
      </x:c>
    </x:row>
    <x:row r="7" ht="46" customHeight="1">
      <x:c r="A7" s="2" t="n">
        <x:v>6</x:v>
      </x:c>
      <x:c r="B7" s="2" t="str">
        <x:v>REM3513</x:v>
      </x:c>
      <x:c r="C7" s="4" t="str">
        <x:v>AMORTIGUADOR CENTRAL O MONOSHOCK - PARA 250Z</x:v>
      </x:c>
      <x:c r="D7" s="2" t="n">
        <x:v>1</x:v>
      </x:c>
      <x:c r="E7" s="2" t="str">
        <x:v>PIEZA</x:v>
      </x:c>
      <x:c r="F7" s="10" t="n">
        <x:v>845.69</x:v>
      </x:c>
      <x:c r="G7" s="2" t="n">
        <x:v>27</x:v>
      </x:c>
      <x:c r="H7" s="11" t="n">
        <x:f>ROUND(D7*F7*(1-G7/100),4)</x:f>
        <x:v>617.3537</x:v>
      </x:c>
    </x:row>
    <x:row r="8" ht="46" customHeight="1">
      <x:c r="A8" s="2" t="n">
        <x:v>7</x:v>
      </x:c>
      <x:c r="B8" s="2" t="str">
        <x:v>REM862</x:v>
      </x:c>
      <x:c r="C8" s="4" t="str">
        <x:v>ANILLOS DE PISTON (.25) - PARA ATV150 2005 - DS150 - GS150 - WS150 - VENT PHANTOM - CARA V</x:v>
      </x:c>
      <x:c r="D8" s="2" t="n">
        <x:v>2</x:v>
      </x:c>
      <x:c r="E8" s="2" t="str">
        <x:v>PIEZA</x:v>
      </x:c>
      <x:c r="F8" s="10" t="n">
        <x:v>39.66</x:v>
      </x:c>
      <x:c r="G8" s="2" t="n">
        <x:v>27</x:v>
      </x:c>
      <x:c r="H8" s="11" t="n">
        <x:f>ROUND(D8*F8*(1-G8/100),4)</x:f>
        <x:v>57.9036</x:v>
      </x:c>
    </x:row>
    <x:row r="9" ht="46" customHeight="1">
      <x:c r="A9" s="2" t="n">
        <x:v>8</x:v>
      </x:c>
      <x:c r="B9" s="2" t="str">
        <x:v>REM810</x:v>
      </x:c>
      <x:c r="C9" s="4" t="str">
        <x:v>BALANCINES LATERALES CON EJE - PARA FT125 - FT150 - FT180 - DT125 - DT150 - DM150 - DM200</x:v>
      </x:c>
      <x:c r="D9" s="2" t="n">
        <x:v>3</x:v>
      </x:c>
      <x:c r="E9" s="2" t="str">
        <x:v>PIEZA</x:v>
      </x:c>
      <x:c r="F9" s="10" t="n">
        <x:v>73.28</x:v>
      </x:c>
      <x:c r="G9" s="2" t="n">
        <x:v>27</x:v>
      </x:c>
      <x:c r="H9" s="11" t="n">
        <x:f>ROUND(D9*F9*(1-G9/100),4)</x:f>
        <x:v>160.4832</x:v>
      </x:c>
    </x:row>
    <x:row r="10" ht="46" customHeight="1">
      <x:c r="A10" s="2" t="n">
        <x:v>9</x:v>
      </x:c>
      <x:c r="B10" s="2" t="str">
        <x:v>REM3306</x:v>
      </x:c>
      <x:c r="C10" s="4" t="str">
        <x:v>BALATA DE FRENO (TAMBOR) MOTOCARRO 200CC</x:v>
      </x:c>
      <x:c r="D10" s="2" t="n">
        <x:v>5</x:v>
      </x:c>
      <x:c r="E10" s="2" t="str">
        <x:v>PIEZA</x:v>
      </x:c>
      <x:c r="F10" s="10" t="n">
        <x:v>58.62</x:v>
      </x:c>
      <x:c r="G10" s="2" t="n">
        <x:v>27</x:v>
      </x:c>
      <x:c r="H10" s="11" t="n">
        <x:f>ROUND(D10*F10*(1-G10/100),4)</x:f>
        <x:v>213.963</x:v>
      </x:c>
    </x:row>
    <x:row r="11" ht="46" customHeight="1">
      <x:c r="A11" s="2" t="n">
        <x:v>10</x:v>
      </x:c>
      <x:c r="B11" s="2" t="str">
        <x:v>REM3465</x:v>
      </x:c>
      <x:c r="C11" s="4" t="str">
        <x:v>BALATA DE FRENO DELANTERO (DISCO) - PARA DUKE200 - DUKE250 - DUKE390 - DOMINAR250 - DOMINA</x:v>
      </x:c>
      <x:c r="D11" s="2" t="n">
        <x:v>1</x:v>
      </x:c>
      <x:c r="E11" s="2" t="str">
        <x:v>PIEZA</x:v>
      </x:c>
      <x:c r="F11" s="10" t="n">
        <x:v>41.38</x:v>
      </x:c>
      <x:c r="G11" s="2" t="n">
        <x:v>27</x:v>
      </x:c>
      <x:c r="H11" s="11" t="n">
        <x:f>ROUND(D11*F11*(1-G11/100),4)</x:f>
        <x:v>30.2074</x:v>
      </x:c>
    </x:row>
    <x:row r="12" ht="46" customHeight="1">
      <x:c r="A12" s="2" t="n">
        <x:v>11</x:v>
      </x:c>
      <x:c r="B12" s="2" t="str">
        <x:v>REM3345</x:v>
      </x:c>
      <x:c r="C12" s="4" t="str">
        <x:v>BALATA DE FRENO TRASERO (DISCO) - PARA VORTX200 - VORTX250</x:v>
      </x:c>
      <x:c r="D12" s="2" t="n">
        <x:v>3</x:v>
      </x:c>
      <x:c r="E12" s="2" t="str">
        <x:v>PIEZA</x:v>
      </x:c>
      <x:c r="F12" s="10" t="n">
        <x:v>25.86</x:v>
      </x:c>
      <x:c r="G12" s="2" t="n">
        <x:v>27</x:v>
      </x:c>
      <x:c r="H12" s="11" t="n">
        <x:f>ROUND(D12*F12*(1-G12/100),4)</x:f>
        <x:v>56.6334</x:v>
      </x:c>
    </x:row>
    <x:row r="13" ht="46" customHeight="1">
      <x:c r="A13" s="2" t="n">
        <x:v>12</x:v>
      </x:c>
      <x:c r="B13" s="2" t="str">
        <x:v>REM2995</x:v>
      </x:c>
      <x:c r="C13" s="4" t="str">
        <x:v>BOMBA DE ACEITE - PARA RC150 (2009-17) - EX200 - RT200 (2009-24) - 250Z (2014-19) - SPTFIR</x:v>
      </x:c>
      <x:c r="D13" s="2" t="n">
        <x:v>2</x:v>
      </x:c>
      <x:c r="E13" s="2" t="str">
        <x:v>PIEZA</x:v>
      </x:c>
      <x:c r="F13" s="10" t="n">
        <x:v>73.28</x:v>
      </x:c>
      <x:c r="G13" s="2" t="n">
        <x:v>27</x:v>
      </x:c>
      <x:c r="H13" s="11" t="n">
        <x:f>ROUND(D13*F13*(1-G13/100),4)</x:f>
        <x:v>106.9888</x:v>
      </x:c>
    </x:row>
    <x:row r="14" ht="46" customHeight="1">
      <x:c r="A14" s="2" t="n">
        <x:v>13</x:v>
      </x:c>
      <x:c r="B14" s="2" t="str">
        <x:v>REM2910</x:v>
      </x:c>
      <x:c r="C14" s="4" t="str">
        <x:v>LLAVE DE CASTILLO - DOBLE</x:v>
      </x:c>
      <x:c r="D14" s="2" t="n">
        <x:v>2</x:v>
      </x:c>
      <x:c r="E14" s="2" t="str">
        <x:v>PIEZA</x:v>
      </x:c>
      <x:c r="F14" s="10" t="n">
        <x:v>53.45</x:v>
      </x:c>
      <x:c r="G14" s="2" t="n">
        <x:v>27</x:v>
      </x:c>
      <x:c r="H14" s="11" t="n">
        <x:f>ROUND(D14*F14*(1-G14/100),4)</x:f>
        <x:v>78.037</x:v>
      </x:c>
    </x:row>
    <x:row r="15" ht="46" customHeight="1">
      <x:c r="A15" s="2" t="n">
        <x:v>14</x:v>
      </x:c>
      <x:c r="B15" s="2" t="str">
        <x:v>REM300</x:v>
      </x:c>
      <x:c r="C15" s="4" t="str">
        <x:v>PERNO Y LEVA DE FRENO - PARA RUNNER 150 APRISSA,FORZA 150</x:v>
      </x:c>
      <x:c r="D15" s="2" t="n">
        <x:v>1</x:v>
      </x:c>
      <x:c r="E15" s="2" t="str">
        <x:v>PIEZA</x:v>
      </x:c>
      <x:c r="F15" s="10" t="n">
        <x:v>23.28</x:v>
      </x:c>
      <x:c r="G15" s="2" t="n">
        <x:v>27</x:v>
      </x:c>
      <x:c r="H15" s="11" t="n">
        <x:f>ROUND(D15*F15*(1-G15/100),4)</x:f>
        <x:v>16.9944</x:v>
      </x:c>
    </x:row>
    <x:row r="16" ht="46" customHeight="1">
      <x:c r="A16" s="2" t="n">
        <x:v>15</x:v>
      </x:c>
      <x:c r="B16" s="2" t="str">
        <x:v>REM1630</x:v>
      </x:c>
      <x:c r="C16" s="4" t="str">
        <x:v>BOMBA DE FRENO CON MANIJA - PARA PULS NS200 - AS200</x:v>
      </x:c>
      <x:c r="D16" s="2" t="n">
        <x:v>4</x:v>
      </x:c>
      <x:c r="E16" s="2" t="str">
        <x:v>PIEZA</x:v>
      </x:c>
      <x:c r="F16" s="10" t="n">
        <x:v>178.45</x:v>
      </x:c>
      <x:c r="G16" s="2" t="n">
        <x:v>27</x:v>
      </x:c>
      <x:c r="H16" s="11" t="n">
        <x:f>ROUND(D16*F16*(1-G16/100),4)</x:f>
        <x:v>521.074</x:v>
      </x:c>
    </x:row>
    <x:row r="17" ht="46" customHeight="1">
      <x:c r="A17" s="2" t="n">
        <x:v>16</x:v>
      </x:c>
      <x:c r="B17" s="2" t="str">
        <x:v>REM2097</x:v>
      </x:c>
      <x:c r="C17" s="4" t="str">
        <x:v>CHICOTE DE ACELERADOR - PARA YAMAHA FZ</x:v>
      </x:c>
      <x:c r="D17" s="2" t="n">
        <x:v>3</x:v>
      </x:c>
      <x:c r="E17" s="2" t="str">
        <x:v>PIEZA</x:v>
      </x:c>
      <x:c r="F17" s="10" t="n">
        <x:v>25.86</x:v>
      </x:c>
      <x:c r="G17" s="2" t="n">
        <x:v>27</x:v>
      </x:c>
      <x:c r="H17" s="11" t="n">
        <x:f>ROUND(D17*F17*(1-G17/100),4)</x:f>
        <x:v>56.6334</x:v>
      </x:c>
    </x:row>
    <x:row r="18" ht="46" customHeight="1">
      <x:c r="A18" s="2" t="n">
        <x:v>17</x:v>
      </x:c>
      <x:c r="B18" s="2" t="str">
        <x:v>REM2138</x:v>
      </x:c>
      <x:c r="C18" s="4" t="str">
        <x:v>JUEGO DE JUNTAS DE MOTOR COMPLETO - PARA GTS175</x:v>
      </x:c>
      <x:c r="D18" s="2" t="n">
        <x:v>4</x:v>
      </x:c>
      <x:c r="E18" s="2" t="str">
        <x:v>PIEZA</x:v>
      </x:c>
      <x:c r="F18" s="10" t="n">
        <x:v>35.34</x:v>
      </x:c>
      <x:c r="G18" s="2" t="n">
        <x:v>27</x:v>
      </x:c>
      <x:c r="H18" s="11" t="n">
        <x:f>ROUND(D18*F18*(1-G18/100),4)</x:f>
        <x:v>103.1928</x:v>
      </x:c>
    </x:row>
    <x:row r="19" ht="46" customHeight="1">
      <x:c r="A19" s="2" t="n">
        <x:v>18</x:v>
      </x:c>
      <x:c r="B19" s="2" t="str">
        <x:v>REM3285</x:v>
      </x:c>
      <x:c r="C19" s="4" t="str">
        <x:v>TREN PRIMARIO Y SECUNDARIO - PARA 250Z (2020-22) - RT250 SPORT (2020-24)</x:v>
      </x:c>
      <x:c r="D19" s="2" t="n">
        <x:v>3</x:v>
      </x:c>
      <x:c r="E19" s="2" t="str">
        <x:v>PIEZA</x:v>
      </x:c>
      <x:c r="F19" s="10" t="n">
        <x:v>700</x:v>
      </x:c>
      <x:c r="G19" s="2" t="n">
        <x:v>27</x:v>
      </x:c>
      <x:c r="H19" s="11" t="n">
        <x:f>ROUND(D19*F19*(1-G19/100),4)</x:f>
        <x:v>1533</x:v>
      </x:c>
    </x:row>
    <x:row r="20" ht="46" customHeight="1">
      <x:c r="A20" s="2" t="n">
        <x:v>19</x:v>
      </x:c>
      <x:c r="B20" s="2" t="str">
        <x:v>REM67</x:v>
      </x:c>
      <x:c r="C20" s="4" t="str">
        <x:v>EJE SECUNDARIO DE ARRANQUE - PARA CS 125 - DS125 - DS150 - GS150 - GTS175 - TS170 - WS150</x:v>
      </x:c>
      <x:c r="D20" s="2" t="n">
        <x:v>3</x:v>
      </x:c>
      <x:c r="E20" s="2" t="str">
        <x:v>PIEZA</x:v>
      </x:c>
      <x:c r="F20" s="10" t="n">
        <x:v>83.62</x:v>
      </x:c>
      <x:c r="G20" s="2" t="n">
        <x:v>27</x:v>
      </x:c>
      <x:c r="H20" s="11" t="n">
        <x:f>ROUND(D20*F20*(1-G20/100),4)</x:f>
        <x:v>183.1278</x:v>
      </x:c>
    </x:row>
    <x:row r="21" ht="46" customHeight="1">
      <x:c r="A21" s="2" t="n">
        <x:v>20</x:v>
      </x:c>
      <x:c r="B21" s="2" t="str">
        <x:v>REM2168</x:v>
      </x:c>
      <x:c r="C21" s="4" t="str">
        <x:v>MANGUERA PARA LIQUIDO DE FRENO - PARA ATV150</x:v>
      </x:c>
      <x:c r="D21" s="2" t="n">
        <x:v>7</x:v>
      </x:c>
      <x:c r="E21" s="2" t="str">
        <x:v>PIEZA</x:v>
      </x:c>
      <x:c r="F21" s="10" t="n">
        <x:v>87.93</x:v>
      </x:c>
      <x:c r="G21" s="2" t="n">
        <x:v>27</x:v>
      </x:c>
      <x:c r="H21" s="11" t="n">
        <x:f>ROUND(D21*F21*(1-G21/100),4)</x:f>
        <x:v>449.3223</x:v>
      </x:c>
    </x:row>
    <x:row r="22" ht="46" customHeight="1">
      <x:c r="A22" s="2" t="n">
        <x:v>21</x:v>
      </x:c>
      <x:c r="B22" s="2" t="str">
        <x:v>REM1964</x:v>
      </x:c>
      <x:c r="C22" s="4" t="str">
        <x:v>MANIJA DE CLUTCH CON BASE - PARA 150Z</x:v>
      </x:c>
      <x:c r="D22" s="2" t="n">
        <x:v>1</x:v>
      </x:c>
      <x:c r="E22" s="2" t="str">
        <x:v>PIEZA</x:v>
      </x:c>
      <x:c r="F22" s="10" t="n">
        <x:v>62.07</x:v>
      </x:c>
      <x:c r="G22" s="2" t="n">
        <x:v>27</x:v>
      </x:c>
      <x:c r="H22" s="11" t="n">
        <x:f>ROUND(D22*F22*(1-G22/100),4)</x:f>
        <x:v>45.3111</x:v>
      </x:c>
    </x:row>
    <x:row r="23" ht="46" customHeight="1">
      <x:c r="A23" s="2" t="n">
        <x:v>22</x:v>
      </x:c>
      <x:c r="B23" s="2" t="str">
        <x:v>REM3724</x:v>
      </x:c>
      <x:c r="C23" s="4" t="str">
        <x:v>MANIJAS AJUSTABLES - PARA 125Z EN AZUL 2PZAS</x:v>
      </x:c>
      <x:c r="D23" s="2" t="n">
        <x:v>3</x:v>
      </x:c>
      <x:c r="E23" s="2" t="str">
        <x:v>PIEZA</x:v>
      </x:c>
      <x:c r="F23" s="10" t="n">
        <x:v>127.59</x:v>
      </x:c>
      <x:c r="G23" s="2" t="n">
        <x:v>27</x:v>
      </x:c>
      <x:c r="H23" s="11" t="n">
        <x:f>ROUND(D23*F23*(1-G23/100),4)</x:f>
        <x:v>279.4221</x:v>
      </x:c>
    </x:row>
    <x:row r="24" ht="46" customHeight="1">
      <x:c r="A24" s="2" t="n">
        <x:v>23</x:v>
      </x:c>
      <x:c r="B24" s="2" t="str">
        <x:v>REM3733</x:v>
      </x:c>
      <x:c r="C24" s="4" t="str">
        <x:v>MANIJAS AJUSTABLES - PARA PULSAR NS200 - AS200 EN NEGRO 2PZAS</x:v>
      </x:c>
      <x:c r="D24" s="2" t="n">
        <x:v>1</x:v>
      </x:c>
      <x:c r="E24" s="2" t="str">
        <x:v>PIEZA</x:v>
      </x:c>
      <x:c r="F24" s="10" t="n">
        <x:v>132.76</x:v>
      </x:c>
      <x:c r="G24" s="2" t="n">
        <x:v>27</x:v>
      </x:c>
      <x:c r="H24" s="11" t="n">
        <x:f>ROUND(D24*F24*(1-G24/100),4)</x:f>
        <x:v>96.9148</x:v>
      </x:c>
    </x:row>
    <x:row r="25" ht="46" customHeight="1">
      <x:c r="A25" s="2" t="n">
        <x:v>24</x:v>
      </x:c>
      <x:c r="B25" s="2" t="str">
        <x:v>REM1800</x:v>
      </x:c>
      <x:c r="C25" s="4" t="str">
        <x:v>PEDAL DE CAMBIOS DE ALUMINIO - EN ROJO PARA CARGO 125 Y 150 HONDA</x:v>
      </x:c>
      <x:c r="D25" s="2" t="n">
        <x:v>3</x:v>
      </x:c>
      <x:c r="E25" s="2" t="str">
        <x:v>PIEZA</x:v>
      </x:c>
      <x:c r="F25" s="10" t="n">
        <x:v>80.17</x:v>
      </x:c>
      <x:c r="G25" s="2" t="n">
        <x:v>27</x:v>
      </x:c>
      <x:c r="H25" s="11" t="n">
        <x:f>ROUND(D25*F25*(1-G25/100),4)</x:f>
        <x:v>175.5723</x:v>
      </x:c>
    </x:row>
    <x:row r="26" ht="46" customHeight="1">
      <x:c r="A26" s="2" t="n">
        <x:v>25</x:v>
      </x:c>
      <x:c r="B26" s="2" t="str">
        <x:v>REM3041</x:v>
      </x:c>
      <x:c r="C26" s="4" t="str">
        <x:v>PORTA VASO - TMMP</x:v>
      </x:c>
      <x:c r="D26" s="2" t="n">
        <x:v>27</x:v>
      </x:c>
      <x:c r="E26" s="2" t="str">
        <x:v>PIEZA</x:v>
      </x:c>
      <x:c r="F26" s="10" t="n">
        <x:v>25.86</x:v>
      </x:c>
      <x:c r="G26" s="2" t="n">
        <x:v>27</x:v>
      </x:c>
      <x:c r="H26" s="11" t="n">
        <x:f>ROUND(D26*F26*(1-G26/100),4)</x:f>
        <x:v>509.7006</x:v>
      </x:c>
    </x:row>
    <x:row r="27" ht="46" customHeight="1">
      <x:c r="A27" s="2" t="n">
        <x:v>26</x:v>
      </x:c>
      <x:c r="B27" s="2" t="str">
        <x:v>REM352</x:v>
      </x:c>
      <x:c r="C27" s="4" t="str">
        <x:v>BALATA DE FRENO DELANTERO (DISCO) - PARA ITAL DS150 - GTS175 - VITALIA - MODENA150 - WS-15</x:v>
      </x:c>
      <x:c r="D27" s="2" t="n">
        <x:v>1</x:v>
      </x:c>
      <x:c r="E27" s="2" t="str">
        <x:v>PIEZA</x:v>
      </x:c>
      <x:c r="F27" s="10" t="n">
        <x:v>29.31</x:v>
      </x:c>
      <x:c r="G27" s="2" t="n">
        <x:v>27</x:v>
      </x:c>
      <x:c r="H27" s="11" t="n">
        <x:f>ROUND(D27*F27*(1-G27/100),4)</x:f>
        <x:v>21.3963</x:v>
      </x:c>
    </x:row>
  </x:sheetData>
  <x:pageMargins left="0.7" right="0.7" top="0.75" bottom="0.75" header="0.3" footer="0.3"/>
</x:worksheet>
</file>