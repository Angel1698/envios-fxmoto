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6f34f634045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o" sheetId="1" r:id="Rcc22d432a24f4e78"/>
    <x:sheet xmlns:r="http://schemas.openxmlformats.org/officeDocument/2006/relationships" name="Renglones" sheetId="2" r:id="R35dfc4bca00a4a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.0000"/>
  </x:numFmts>
  <x:fonts count="4">
    <x:font>
      <x:sz val="11"/>
      <x:name val="Carlito"/>
    </x:font>
    <x:font>
      <x:sz val="10"/>
      <x:name val="Arial"/>
    </x:font>
    <x:font>
      <x:b/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84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e3681393b1443e" /><Relationship Type="http://schemas.openxmlformats.org/officeDocument/2006/relationships/theme" Target="/xl/theme/theme1.xml" Id="R041c7b9540d144af" /><Relationship Type="http://schemas.openxmlformats.org/officeDocument/2006/relationships/sharedStrings" Target="/xl/sharedStrings.xml" Id="R465fe1da7b4d4ccd" /><Relationship Type="http://schemas.openxmlformats.org/officeDocument/2006/relationships/worksheet" Target="/xl/worksheets/sheet1.xml" Id="Rcc22d432a24f4e78" /><Relationship Type="http://schemas.openxmlformats.org/officeDocument/2006/relationships/worksheet" Target="/xl/worksheets/sheet2.xml" Id="R35dfc4bca00a4a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88" hidden="0" customWidth="1"/>
  </x:cols>
  <x:sheetData>
    <x:row r="1" ht="25" customHeight="1">
      <x:c r="A1" s="3" t="str">
        <x:v>Formato</x:v>
      </x:c>
      <x:c r="B1" s="4" t="str">
        <x:v>FXMOTO-DOC-1</x:v>
      </x:c>
    </x:row>
    <x:row r="2" ht="25" customHeight="1">
      <x:c r="A2" s="3" t="str">
        <x:v>Proveedor</x:v>
      </x:c>
      <x:c r="B2" s="4" t="str">
        <x:v>TMMP / RemoMotos</x:v>
      </x:c>
    </x:row>
    <x:row r="3" ht="25" customHeight="1">
      <x:c r="A3" s="3" t="str">
        <x:v>RFC emisor</x:v>
      </x:c>
      <x:c r="B3" s="4" t="str">
        <x:v>RMO130410UL1</x:v>
      </x:c>
    </x:row>
    <x:row r="4" ht="25" customHeight="1">
      <x:c r="A4" s="3" t="str">
        <x:v>Tipo</x:v>
      </x:c>
      <x:c r="B4" s="4" t="str">
        <x:v>REMISION</x:v>
      </x:c>
    </x:row>
    <x:row r="5" ht="25" customHeight="1">
      <x:c r="A5" s="3" t="str">
        <x:v>Folio</x:v>
      </x:c>
      <x:c r="B5" s="4" t="str">
        <x:v>R5732</x:v>
      </x:c>
    </x:row>
    <x:row r="6" ht="25" customHeight="1">
      <x:c r="A6" s="3" t="str">
        <x:v>Serie</x:v>
      </x:c>
      <x:c r="B6" s="4"/>
    </x:row>
    <x:row r="7" ht="25" customHeight="1">
      <x:c r="A7" s="3" t="str">
        <x:v>UUID</x:v>
      </x:c>
      <x:c r="B7" s="4"/>
    </x:row>
    <x:row r="8" ht="25" customHeight="1">
      <x:c r="A8" s="3" t="str">
        <x:v>Fecha del documento</x:v>
      </x:c>
      <x:c r="B8" s="5" t="d">
        <x:v>2026-10-24T00:00:00.000Z</x:v>
      </x:c>
    </x:row>
    <x:row r="9" ht="25" customHeight="1">
      <x:c r="A9" s="3" t="str">
        <x:v>Bodega</x:v>
      </x:c>
      <x:c r="B9" s="4" t="str">
        <x:v>CUERNAVACA</x:v>
      </x:c>
    </x:row>
    <x:row r="10" ht="25" customHeight="1">
      <x:c r="A10" s="3" t="str">
        <x:v>Pedido FXMoto</x:v>
      </x:c>
      <x:c r="B10" s="4" t="n">
        <x:v>55</x:v>
      </x:c>
    </x:row>
    <x:row r="11" ht="25" customHeight="1">
      <x:c r="A11" s="3" t="str">
        <x:v>Marca de pedido</x:v>
      </x:c>
      <x:c r="B11" s="4" t="str">
        <x:v>TMMP</x:v>
      </x:c>
    </x:row>
    <x:row r="12" ht="25" customHeight="1">
      <x:c r="A12" s="3" t="str">
        <x:v>Pedido o cotización del proveedor</x:v>
      </x:c>
      <x:c r="B12" s="4" t="str">
        <x:v>3374307</x:v>
      </x:c>
    </x:row>
    <x:row r="13" ht="25" customHeight="1">
      <x:c r="A13" s="3" t="str">
        <x:v>Documento relacionado</x:v>
      </x:c>
      <x:c r="B13" s="4" t="str">
        <x:v>Llegada L26102815295521</x:v>
      </x:c>
    </x:row>
    <x:row r="14" ht="25" customHeight="1">
      <x:c r="A14" s="3" t="str">
        <x:v>Moneda</x:v>
      </x:c>
      <x:c r="B14" s="4" t="str">
        <x:v>MXN</x:v>
      </x:c>
    </x:row>
    <x:row r="15" ht="25" customHeight="1">
      <x:c r="A15" s="3" t="str">
        <x:v>Subtotal</x:v>
      </x:c>
      <x:c r="B15" s="6" t="n">
        <x:v>1278.13</x:v>
      </x:c>
    </x:row>
    <x:row r="16" ht="25" customHeight="1">
      <x:c r="A16" s="3" t="str">
        <x:v>Descuento</x:v>
      </x:c>
      <x:c r="B16" s="6"/>
    </x:row>
    <x:row r="17" ht="25" customHeight="1">
      <x:c r="A17" s="3" t="str">
        <x:v>IVA</x:v>
      </x:c>
      <x:c r="B17" s="6" t="n">
        <x:v>204.5</x:v>
      </x:c>
    </x:row>
    <x:row r="18" ht="25" customHeight="1">
      <x:c r="A18" s="3" t="str">
        <x:v>Total</x:v>
      </x:c>
      <x:c r="B18" s="6" t="n">
        <x:v>1482.63</x:v>
      </x:c>
    </x:row>
    <x:row r="19" ht="25" customHeight="1">
      <x:c r="A19" s="3" t="str">
        <x:v>Fecha de llegada</x:v>
      </x:c>
      <x:c r="B19" s="5" t="d">
        <x:v>2026-10-28T00:00:00.000Z</x:v>
      </x:c>
    </x:row>
    <x:row r="20" ht="25" customHeight="1">
      <x:c r="A20" s="3" t="str">
        <x:v>Bultos esperados</x:v>
      </x:c>
      <x:c r="B20" s="4"/>
    </x:row>
    <x:row r="21" ht="25" customHeight="1">
      <x:c r="A21" s="3" t="str">
        <x:v>Bultos llegados</x:v>
      </x:c>
      <x:c r="B21" s="4"/>
    </x:row>
    <x:row r="22" ht="25" customHeight="1">
      <x:c r="A22" s="3" t="str">
        <x:v>Recibió</x:v>
      </x:c>
      <x:c r="B22" s="4" t="str">
        <x:v>Yuridia</x:v>
      </x:c>
    </x:row>
    <x:row r="23" ht="150" customHeight="1">
      <x:c r="A23" s="3" t="str">
        <x:v>Observaciones de recepción</x:v>
      </x:c>
      <x:c r="B23" s="4" t="str">
        <x:v>Remisión, CFDI pendiente. 11 cajas compartidas entre R5732 y R5733; no sumar 11 por documento. Cantidades documentales; contenido por código sin conteo físico individual. Importes de renglón calculados a 4 decimales desde precio y descuento. Subtotal/IVA recalculados; R5733 tiene el pie numérico recortado. Diferencia contra cotización explicada por redondeo. Sin asignación Full.</x:v>
      </x:c>
    </x:row>
    <x:row r="24" ht="65" customHeight="1">
      <x:c r="A24" s="3" t="str">
        <x:v>Origen</x:v>
      </x:c>
      <x:c r="B24" s="4" t="str">
        <x:v>Fotos de la llegada L26102815295521, papeles 1 y 2. https://envios.motofix.com.mx/remomotos-llegada-cvc-28oct-67be9943.html</x:v>
      </x:c>
    </x:row>
    <x:row r="25" ht="25" customHeight="1">
      <x:c r="A25" s="3" t="str">
        <x:v>Preparó</x:v>
      </x:c>
      <x:c r="B25" s="4" t="str">
        <x:v>Codex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6" hidden="0" customWidth="1"/>
    <x:col min="3" max="3" width="70" hidden="0" customWidth="1"/>
    <x:col min="4" max="4" width="12" hidden="0" customWidth="1"/>
    <x:col min="5" max="5" width="12" hidden="0" customWidth="1"/>
    <x:col min="6" max="6" width="18" hidden="0" customWidth="1"/>
    <x:col min="7" max="7" width="16" hidden="0" customWidth="1"/>
    <x:col min="8" max="8" width="19" hidden="0" customWidth="1"/>
  </x:cols>
  <x:sheetData>
    <x:row r="1" ht="38" customHeight="1">
      <x:c r="A1" s="9" t="str">
        <x:v>Renglón</x:v>
      </x:c>
      <x:c r="B1" s="9" t="str">
        <x:v>Código</x:v>
      </x:c>
      <x:c r="C1" s="9" t="str">
        <x:v>Descripción</x:v>
      </x:c>
      <x:c r="D1" s="9" t="str">
        <x:v>Cantidad</x:v>
      </x:c>
      <x:c r="E1" s="9" t="str">
        <x:v>Unidad</x:v>
      </x:c>
      <x:c r="F1" s="9" t="str">
        <x:v>Precio unitario</x:v>
      </x:c>
      <x:c r="G1" s="9" t="str">
        <x:v>% Descuento</x:v>
      </x:c>
      <x:c r="H1" s="9" t="str">
        <x:v>Importe</x:v>
      </x:c>
    </x:row>
    <x:row r="2" ht="46" customHeight="1">
      <x:c r="A2" s="2" t="n">
        <x:v>1</x:v>
      </x:c>
      <x:c r="B2" s="2" t="str">
        <x:v>REM705</x:v>
      </x:c>
      <x:c r="C2" s="4" t="str">
        <x:v>CLUTCH - PARA FT125 - FT150 GRAFITO - RC125 - 125Z - 150Z (2014-24) - DM150 ROJA (2018-21</x:v>
      </x:c>
      <x:c r="D2" s="2" t="n">
        <x:v>1</x:v>
      </x:c>
      <x:c r="E2" s="2" t="str">
        <x:v>PIEZA</x:v>
      </x:c>
      <x:c r="F2" s="10" t="n">
        <x:v>162.93</x:v>
      </x:c>
      <x:c r="G2" s="2" t="n">
        <x:v>27</x:v>
      </x:c>
      <x:c r="H2" s="11" t="n">
        <x:f>ROUND(D2*F2*(1-G2/100),4)</x:f>
        <x:v>118.9389</x:v>
      </x:c>
    </x:row>
    <x:row r="3" ht="46" customHeight="1">
      <x:c r="A3" s="2" t="n">
        <x:v>2</x:v>
      </x:c>
      <x:c r="B3" s="2" t="str">
        <x:v>REM3320</x:v>
      </x:c>
      <x:c r="C3" s="4" t="str">
        <x:v>CAMPANA DE CLUTCH O CREMALLERA - PARA FZ16</x:v>
      </x:c>
      <x:c r="D3" s="2" t="n">
        <x:v>1</x:v>
      </x:c>
      <x:c r="E3" s="2" t="str">
        <x:v>PIEZA</x:v>
      </x:c>
      <x:c r="F3" s="10" t="n">
        <x:v>761.21</x:v>
      </x:c>
      <x:c r="G3" s="2" t="n">
        <x:v>27</x:v>
      </x:c>
      <x:c r="H3" s="11" t="n">
        <x:f>ROUND(D3*F3*(1-G3/100),4)</x:f>
        <x:v>555.6833</x:v>
      </x:c>
    </x:row>
    <x:row r="4" ht="46" customHeight="1">
      <x:c r="A4" s="2" t="n">
        <x:v>3</x:v>
      </x:c>
      <x:c r="B4" s="2" t="str">
        <x:v>REM3014</x:v>
      </x:c>
      <x:c r="C4" s="4" t="str">
        <x:v>MANDOS - PARA RT200 IZQ. Y DER. (2 PZAS)</x:v>
      </x:c>
      <x:c r="D4" s="2" t="n">
        <x:v>3</x:v>
      </x:c>
      <x:c r="E4" s="2" t="str">
        <x:v>PIEZA</x:v>
      </x:c>
      <x:c r="F4" s="10" t="n">
        <x:v>162.07</x:v>
      </x:c>
      <x:c r="G4" s="2" t="n">
        <x:v>27</x:v>
      </x:c>
      <x:c r="H4" s="11" t="n">
        <x:f>ROUND(D4*F4*(1-G4/100),4)</x:f>
        <x:v>354.9333</x:v>
      </x:c>
    </x:row>
    <x:row r="5" ht="46" customHeight="1">
      <x:c r="A5" s="2" t="n">
        <x:v>4</x:v>
      </x:c>
      <x:c r="B5" s="2" t="str">
        <x:v>REM3113</x:v>
      </x:c>
      <x:c r="C5" s="4" t="str">
        <x:v>BALATA DE FRENO DELANTERO (DISCO) - PARA HOND CB150 INVICTA - CBF125 - SUZU GIXXER150 - GI</x:v>
      </x:c>
      <x:c r="D5" s="2" t="n">
        <x:v>2</x:v>
      </x:c>
      <x:c r="E5" s="2" t="str">
        <x:v>PIEZA</x:v>
      </x:c>
      <x:c r="F5" s="10" t="n">
        <x:v>38.79</x:v>
      </x:c>
      <x:c r="G5" s="2" t="n">
        <x:v>27</x:v>
      </x:c>
      <x:c r="H5" s="11" t="n">
        <x:f>ROUND(D5*F5*(1-G5/100),4)</x:f>
        <x:v>56.6334</x:v>
      </x:c>
    </x:row>
    <x:row r="6" ht="46" customHeight="1">
      <x:c r="A6" s="2" t="n">
        <x:v>5</x:v>
      </x:c>
      <x:c r="B6" s="2" t="str">
        <x:v>REM169</x:v>
      </x:c>
      <x:c r="C6" s="4" t="str">
        <x:v>CLUTCH - PARA 250Z,EX200,RT200,DM250,REBELIAN200,MOTOCARRO DAZON200, TORNADO 250, ROCKETMA</x:v>
      </x:c>
      <x:c r="D6" s="2" t="n">
        <x:v>1</x:v>
      </x:c>
      <x:c r="E6" s="2" t="str">
        <x:v>PIEZA</x:v>
      </x:c>
      <x:c r="F6" s="10" t="n">
        <x:v>179.31</x:v>
      </x:c>
      <x:c r="G6" s="2" t="n">
        <x:v>27</x:v>
      </x:c>
      <x:c r="H6" s="11" t="n">
        <x:f>ROUND(D6*F6*(1-G6/100),4)</x:f>
        <x:v>130.8963</x:v>
      </x:c>
    </x:row>
    <x:row r="7" ht="46" customHeight="1">
      <x:c r="A7" s="2" t="n">
        <x:v>6</x:v>
      </x:c>
      <x:c r="B7" s="2" t="str">
        <x:v>REM2137</x:v>
      </x:c>
      <x:c r="C7" s="4" t="str">
        <x:v>ESPEJOS - PARA 150Z Y 250Z (10MM)</x:v>
      </x:c>
      <x:c r="D7" s="2" t="n">
        <x:v>1</x:v>
      </x:c>
      <x:c r="E7" s="2" t="str">
        <x:v>PIEZA</x:v>
      </x:c>
      <x:c r="F7" s="10" t="n">
        <x:v>83.62</x:v>
      </x:c>
      <x:c r="G7" s="2" t="n">
        <x:v>27</x:v>
      </x:c>
      <x:c r="H7" s="11" t="n">
        <x:f>ROUND(D7*F7*(1-G7/100),4)</x:f>
        <x:v>61.0426</x:v>
      </x:c>
    </x:row>
  </x:sheetData>
  <x:pageMargins left="0.7" right="0.7" top="0.75" bottom="0.75" header="0.3" footer="0.3"/>
</x:worksheet>
</file>